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2" borderId="1" pivotButton="0" quotePrefix="0" xfId="0"/>
    <xf numFmtId="0" fontId="0" fillId="2" borderId="1" pivotButton="0" quotePrefix="0" xfId="0"/>
    <xf numFmtId="0" fontId="0" fillId="0" borderId="1" applyAlignment="1" pivotButton="0" quotePrefix="0" xfId="0">
      <alignment wrapText="1"/>
    </xf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F38"/>
  <sheetViews>
    <sheetView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70" customWidth="1" min="3" max="3"/>
    <col width="8" customWidth="1" min="4" max="4"/>
    <col width="22" customWidth="1" min="5" max="5"/>
    <col width="18" customWidth="1" min="6" max="6"/>
  </cols>
  <sheetData>
    <row r="1">
      <c r="B1" s="1" t="inlineStr">
        <is>
          <t>SCHEDULE C- BREAKDOWN OF LUMP SUM</t>
        </is>
      </c>
    </row>
    <row r="3">
      <c r="B3" s="2" t="inlineStr">
        <is>
          <t>Newstead Levee Design</t>
        </is>
      </c>
    </row>
    <row r="4">
      <c r="B4" t="inlineStr">
        <is>
          <t>LOCATION:  Newstead, Victoria</t>
        </is>
      </c>
    </row>
    <row r="5">
      <c r="F5" t="inlineStr">
        <is>
          <t>M2025-125</t>
        </is>
      </c>
    </row>
    <row r="6">
      <c r="B6" t="inlineStr">
        <is>
          <t>CLIENT:  Mount Alexander Shire Council</t>
        </is>
      </c>
    </row>
    <row r="7">
      <c r="C7" t="inlineStr">
        <is>
          <t>Version</t>
        </is>
      </c>
      <c r="F7" t="n">
        <v>1</v>
      </c>
    </row>
    <row r="9">
      <c r="B9" t="inlineStr">
        <is>
          <t xml:space="preserve">Schedule C </t>
        </is>
      </c>
    </row>
    <row r="10">
      <c r="B10" s="3" t="inlineStr">
        <is>
          <t>ITEM</t>
        </is>
      </c>
      <c r="C10" s="3" t="inlineStr">
        <is>
          <t>DELIVERABLES OUTLINED WITHIN THE PROJECT BRIEF</t>
        </is>
      </c>
      <c r="D10" s="4" t="n"/>
      <c r="E10" s="4" t="n"/>
      <c r="F10" s="3" t="inlineStr">
        <is>
          <t>$ AMOUNT
(exc GST)</t>
        </is>
      </c>
    </row>
    <row r="11">
      <c r="B11" s="4" t="n">
        <v>1</v>
      </c>
      <c r="C11" s="5" t="inlineStr">
        <is>
          <t>General Items</t>
        </is>
      </c>
      <c r="D11" s="4" t="n"/>
      <c r="E11" s="4" t="n"/>
      <c r="F11" s="4" t="n"/>
    </row>
    <row r="12" ht="45" customHeight="1">
      <c r="B12" s="4" t="inlineStr">
        <is>
          <t>1.1</t>
        </is>
      </c>
      <c r="C12" s="6" t="inlineStr">
        <is>
          <t>Project inception and available information and reference document review
Confirm information gaps and prepare a Design Basis Memorandum.</t>
        </is>
      </c>
      <c r="D12" s="4" t="n"/>
      <c r="E12" s="4" t="n"/>
      <c r="F12" s="7" t="n">
        <v>9660</v>
      </c>
    </row>
    <row r="13" ht="45" customHeight="1">
      <c r="B13" s="4" t="inlineStr">
        <is>
          <t>1.2</t>
        </is>
      </c>
      <c r="C13" s="6" t="inlineStr">
        <is>
          <t>Design Basis Memorandum
Council review and acceptance of investigation requirements and approval pathway.</t>
        </is>
      </c>
      <c r="D13" s="4" t="n"/>
      <c r="E13" s="4" t="n"/>
      <c r="F13" s="7" t="n">
        <v>10690</v>
      </c>
    </row>
    <row r="14" ht="45" customHeight="1">
      <c r="B14" s="4" t="inlineStr">
        <is>
          <t>1.3</t>
        </is>
      </c>
      <c r="C14" s="6" t="inlineStr">
        <is>
          <t>Concept alignment and hydraulic impact review
Council review of alignment options, flood impacts, fill volume, property impacts, approval risks and recommended concept.</t>
        </is>
      </c>
      <c r="D14" s="4" t="n"/>
      <c r="E14" s="4" t="n"/>
      <c r="F14" s="7" t="n">
        <v>41270</v>
      </c>
    </row>
    <row r="15" ht="45" customHeight="1">
      <c r="B15" s="4" t="inlineStr">
        <is>
          <t>1.4</t>
        </is>
      </c>
      <c r="C15" s="6" t="inlineStr">
        <is>
          <t>50% design review
Council review of concept design plans, cost estimates and risk register.</t>
        </is>
      </c>
      <c r="D15" s="4" t="n"/>
      <c r="E15" s="4" t="n"/>
      <c r="F15" s="7" t="n">
        <v>14440</v>
      </c>
    </row>
    <row r="16" ht="45" customHeight="1">
      <c r="B16" s="4" t="inlineStr">
        <is>
          <t>1.5</t>
        </is>
      </c>
      <c r="C16" s="6" t="inlineStr">
        <is>
          <t>80% design review
Council review of detailed design plans, cost estimates and risk register.</t>
        </is>
      </c>
      <c r="D16" s="4" t="n"/>
      <c r="E16" s="4" t="n"/>
      <c r="F16" s="7" t="n">
        <v>13700</v>
      </c>
    </row>
    <row r="17" ht="45" customHeight="1">
      <c r="B17" s="4" t="inlineStr">
        <is>
          <t>1.6</t>
        </is>
      </c>
      <c r="C17" s="6" t="inlineStr">
        <is>
          <t>Final design / Issued for Tender package
Council acceptance of final drawings, specification, quantities, cost estimate, design report, approvals summary and design certification.</t>
        </is>
      </c>
      <c r="D17" s="4" t="n"/>
      <c r="E17" s="4" t="n"/>
      <c r="F17" s="7" t="n">
        <v>23840</v>
      </c>
    </row>
    <row r="18">
      <c r="B18" s="4" t="n"/>
      <c r="C18" s="4" t="n"/>
      <c r="D18" s="4" t="n"/>
      <c r="E18" s="4" t="n"/>
      <c r="F18" s="4" t="n"/>
    </row>
    <row r="19">
      <c r="B19" s="4" t="n">
        <v>2</v>
      </c>
      <c r="C19" s="5" t="inlineStr">
        <is>
          <t>Provisional Quantity Items</t>
        </is>
      </c>
      <c r="D19" s="4" t="inlineStr">
        <is>
          <t>Unit</t>
        </is>
      </c>
      <c r="E19" s="4" t="inlineStr">
        <is>
          <t>Rate</t>
        </is>
      </c>
      <c r="F19" s="4" t="n"/>
    </row>
    <row r="20" ht="45" customHeight="1">
      <c r="B20" s="4" t="inlineStr">
        <is>
          <t>2.1</t>
        </is>
      </c>
      <c r="C20" s="6" t="inlineStr">
        <is>
          <t>Additional ground survey works required as part of the information gap works, including all field works and associated data preparation.</t>
        </is>
      </c>
      <c r="D20" s="4" t="inlineStr">
        <is>
          <t>Day</t>
        </is>
      </c>
      <c r="E20" s="8" t="inlineStr">
        <is>
          <t>[TBC - Jayden: $ per day, surveyor rate + 10%]</t>
        </is>
      </c>
      <c r="F20" s="4" t="n"/>
    </row>
    <row r="21">
      <c r="B21" s="4" t="n"/>
      <c r="C21" s="4" t="n"/>
      <c r="D21" s="4" t="n"/>
      <c r="E21" s="4" t="n"/>
      <c r="F21" s="4" t="n"/>
    </row>
    <row r="22">
      <c r="B22" s="4" t="n">
        <v>3</v>
      </c>
      <c r="C22" s="5" t="inlineStr">
        <is>
          <t>Value Add Options</t>
        </is>
      </c>
      <c r="D22" s="4" t="n"/>
      <c r="E22" s="4" t="n"/>
      <c r="F22" s="4" t="n"/>
    </row>
    <row r="23" ht="30" customHeight="1">
      <c r="B23" s="4" t="inlineStr">
        <is>
          <t>3.1</t>
        </is>
      </c>
      <c r="C23" s="9" t="inlineStr">
        <is>
          <t>Nil in this schedule. Optional services O1 to O5 and the alternative offer are in Schedule K and the JCE proposal Section 10 (not included in the tender amount).</t>
        </is>
      </c>
      <c r="D23" s="4" t="n"/>
      <c r="E23" s="4" t="n"/>
      <c r="F23" s="4" t="n"/>
    </row>
    <row r="24">
      <c r="B24" s="4" t="inlineStr">
        <is>
          <t>3.2</t>
        </is>
      </c>
      <c r="C24" s="4" t="n"/>
      <c r="D24" s="4" t="n"/>
      <c r="E24" s="4" t="n"/>
      <c r="F24" s="4" t="n"/>
    </row>
    <row r="25">
      <c r="B25" s="4" t="n"/>
      <c r="C25" s="4" t="n"/>
      <c r="D25" s="4" t="n"/>
      <c r="E25" s="4" t="n"/>
      <c r="F25" s="4" t="n"/>
    </row>
    <row r="26">
      <c r="B26" s="4" t="n"/>
      <c r="C26" s="5" t="inlineStr">
        <is>
          <t>Sub Total (Exc. GST)</t>
        </is>
      </c>
      <c r="D26" s="4" t="n"/>
      <c r="E26" s="4" t="n"/>
      <c r="F26" s="10">
        <f>SUM(F11:F18)+SUM(F23:F25)</f>
        <v/>
      </c>
    </row>
    <row r="27">
      <c r="B27" s="4" t="n"/>
      <c r="C27" s="5" t="inlineStr">
        <is>
          <t>GST Component (10%)</t>
        </is>
      </c>
      <c r="D27" s="4" t="n"/>
      <c r="E27" s="4" t="n"/>
      <c r="F27" s="10">
        <f>F26/10</f>
        <v/>
      </c>
    </row>
    <row r="28">
      <c r="B28" s="4" t="n"/>
      <c r="C28" s="5" t="inlineStr">
        <is>
          <t>Total Tender Amount (Inc. GST)</t>
        </is>
      </c>
      <c r="D28" s="4" t="n"/>
      <c r="E28" s="4" t="n"/>
      <c r="F28" s="10">
        <f>F26+F27</f>
        <v/>
      </c>
    </row>
    <row r="33">
      <c r="B33" s="2" t="inlineStr">
        <is>
          <t>CONSULTANT DETAILS</t>
        </is>
      </c>
    </row>
    <row r="35">
      <c r="B35" t="inlineStr">
        <is>
          <t>Name of Consultant:</t>
        </is>
      </c>
      <c r="C35" t="inlineStr">
        <is>
          <t>JCE Infrastructure Pty Ltd (ABN 29 699 165 663)</t>
        </is>
      </c>
    </row>
    <row r="36">
      <c r="B36" t="inlineStr">
        <is>
          <t>Address of Consultant:</t>
        </is>
      </c>
      <c r="C36" t="inlineStr">
        <is>
          <t>[TBC - Jayden: JCE business address]</t>
        </is>
      </c>
    </row>
    <row r="37">
      <c r="B37" t="inlineStr">
        <is>
          <t>Signed:</t>
        </is>
      </c>
      <c r="C37" t="inlineStr">
        <is>
          <t>[signature]</t>
        </is>
      </c>
    </row>
    <row r="38">
      <c r="B38" t="inlineStr">
        <is>
          <t>Print Name:</t>
        </is>
      </c>
      <c r="C38" t="inlineStr">
        <is>
          <t>Jayden Callen, Director</t>
        </is>
      </c>
    </row>
  </sheetData>
  <pageMargins left="0.75" right="0.75" top="1" bottom="1" header="0.5" footer="0.5"/>
  <pageSetup orientation="portrait" fitToWidth="1"/>
  <headerFooter>
    <oddHeader>&amp;COFFICIAL: Sensitive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2026-10-12T01:29:38Z</dcterms:created>
  <dcterms:modified xmlns:dcterms="http://purl.org/dc/terms/" xmlns:xsi="http://www.w3.org/2001/XMLSchema-instance" xsi:type="dcterms:W3CDTF">2026-10-12T01:29:38Z</dcterms:modified>
</cp:coreProperties>
</file>