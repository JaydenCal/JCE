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QA Enginee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<sst xmlns="http://schemas.openxmlformats.org/spreadsheetml/2006/main" count="214" uniqueCount="130">
  <si>
    <t xml:space="preserve">CQA Engineer</t>
  </si>
  <si>
    <t xml:space="preserve">PROJECT:</t>
  </si>
  <si>
    <t xml:space="preserve">Gregadoo WMC CQA Engineer - New General Waste Cell 3.1 &amp; Monocell M1.1 (RFT CT2027005)</t>
  </si>
  <si>
    <t xml:space="preserve">LOCATION:</t>
  </si>
  <si>
    <t xml:space="preserve">162 Ashfords Road, Gregadoo NSW 2650</t>
  </si>
  <si>
    <t xml:space="preserve">PLAN REGISTRATION:</t>
  </si>
  <si>
    <t xml:space="preserve">N/A (CQA services)</t>
  </si>
  <si>
    <t xml:space="preserve">PREPARED BY:</t>
  </si>
  <si>
    <t xml:space="preserve">JCE Infrastructure Pty Ltd (ABN 29 699 165 663) - Jayden Callen, Director</t>
  </si>
  <si>
    <t xml:space="preserve">BOQ REVISION:</t>
  </si>
  <si>
    <t xml:space="preserve">F (final for lodgement; partner provisional sums to be replaced by quoted prices before lodgement)</t>
  </si>
  <si>
    <t xml:space="preserve">DATE:</t>
  </si>
  <si>
    <t xml:space="preserve">12/10/2026</t>
  </si>
  <si>
    <t xml:space="preserve">ITEM</t>
  </si>
  <si>
    <t xml:space="preserve">DESCRIPTION</t>
  </si>
  <si>
    <t xml:space="preserve">QTY</t>
  </si>
  <si>
    <t xml:space="preserve">Lead CQA Engineer (J. Callen)</t>
  </si>
  <si>
    <t xml:space="preserve">Director review &amp; certification</t>
  </si>
  <si>
    <t xml:space="preserve">Project engineer / admin / travel</t>
  </si>
  <si>
    <t xml:space="preserve">UNIT</t>
  </si>
  <si>
    <t xml:space="preserve">RATE</t>
  </si>
  <si>
    <t xml:space="preserve">COST (ex GST)</t>
  </si>
  <si>
    <t xml:space="preserve">Rate ($/hr)</t>
  </si>
  <si>
    <t xml:space="preserve">Hours</t>
  </si>
  <si>
    <t xml:space="preserve">Portion 1 - General Cell 3.1</t>
  </si>
  <si>
    <t xml:space="preserve">1</t>
  </si>
  <si>
    <t xml:space="preserve">Preliminaies &amp; Overheads</t>
  </si>
  <si>
    <t xml:space="preserve">1.1</t>
  </si>
  <si>
    <t xml:space="preserve">Site Establishment, including site management, travel, disbursements, and all other project overheads and management plans</t>
  </si>
  <si>
    <t xml:space="preserve">Item</t>
  </si>
  <si>
    <t xml:space="preserve">JCE: management plans, CQA Implementation Plan, submittal/MQA review, inductions, partner coordination, fortnightly meetings, monthly reports and claims; project engineer hours include travel time for 8 return trips Gunnedah - Wagga Wagga (120 h).</t>
  </si>
  <si>
    <t xml:space="preserve">1.1a</t>
  </si>
  <si>
    <t xml:space="preserve">Disbursements (added line): vehicle 8 x 1,260 km at $0.96/km, accommodation and meals 22 nights at $280</t>
  </si>
  <si>
    <t xml:space="preserve">2</t>
  </si>
  <si>
    <t xml:space="preserve">Coordination of works and results, compilation of records as required to achieve compliance for the works. Includes: coordination with the Superintendent, materials and quality records, as-constructed reports, and ITP &amp; QA review.</t>
  </si>
  <si>
    <t xml:space="preserve">2.1</t>
  </si>
  <si>
    <t xml:space="preserve">Earthworks and Site Preparation</t>
  </si>
  <si>
    <t xml:space="preserve">2.2</t>
  </si>
  <si>
    <t xml:space="preserve">Groundwater Relief System</t>
  </si>
  <si>
    <t xml:space="preserve">2.3</t>
  </si>
  <si>
    <t xml:space="preserve">Engineered Fill Layer</t>
  </si>
  <si>
    <t xml:space="preserve">2.4</t>
  </si>
  <si>
    <t xml:space="preserve">Anchor Trenches</t>
  </si>
  <si>
    <t xml:space="preserve">2.5</t>
  </si>
  <si>
    <t xml:space="preserve">Geosynthetic Clay Layer</t>
  </si>
  <si>
    <t xml:space="preserve">2.6</t>
  </si>
  <si>
    <t xml:space="preserve">HDPE Liner</t>
  </si>
  <si>
    <t xml:space="preserve">2.7</t>
  </si>
  <si>
    <t xml:space="preserve">Cushion Geotextile</t>
  </si>
  <si>
    <t xml:space="preserve">2.8</t>
  </si>
  <si>
    <t xml:space="preserve">Leachate Collection System</t>
  </si>
  <si>
    <t xml:space="preserve">2.9</t>
  </si>
  <si>
    <t xml:space="preserve">Gravel Drainage Layer</t>
  </si>
  <si>
    <t xml:space="preserve">2.10</t>
  </si>
  <si>
    <t xml:space="preserve">Separation Geotextile</t>
  </si>
  <si>
    <t xml:space="preserve">2.11</t>
  </si>
  <si>
    <t xml:space="preserve">Drainage Geocomposite</t>
  </si>
  <si>
    <t xml:space="preserve">2.12</t>
  </si>
  <si>
    <t xml:space="preserve">Woven Geotextile</t>
  </si>
  <si>
    <t xml:space="preserve">2.13</t>
  </si>
  <si>
    <t xml:space="preserve">Fencing</t>
  </si>
  <si>
    <t xml:space="preserve">2.14</t>
  </si>
  <si>
    <t xml:space="preserve">Leachate and Groundwater Transfer Systems</t>
  </si>
  <si>
    <t xml:space="preserve">JCE hours in items 2.x cover 14 site days by J. Callen at critical hold points plus review of daily logs, test results and hold point packages. Resident technician time is in provisional sums 2.PS1 and 2.PS2 below.</t>
  </si>
  <si>
    <t xml:space="preserve">3</t>
  </si>
  <si>
    <t xml:space="preserve">Compile, prepare and submit final report for EPA approval.</t>
  </si>
  <si>
    <t xml:space="preserve">Prepared and signed by JCE (CQA Engineer of record), reviewed and co-signed by the partner's senior landfill CQA engineer (PS3).</t>
  </si>
  <si>
    <t xml:space="preserve">3A</t>
  </si>
  <si>
    <t xml:space="preserve">Provisional sums (added lines) - partner and specialist services, each including JCE's 10% coordination margin; claimed only to the extent used</t>
  </si>
  <si>
    <t xml:space="preserve">3.PS1</t>
  </si>
  <si>
    <t xml:space="preserve">Partner resident CQA technician(s): full-time attendance during the geosynthetic lining works and at hold points (CQA Plans)</t>
  </si>
  <si>
    <t xml:space="preserve">day</t>
  </si>
  <si>
    <t xml:space="preserve">3.PS2</t>
  </si>
  <si>
    <t xml:space="preserve">Partner resident CQA technician(s): attendance during all other working hours of the works (Part D 1.13)</t>
  </si>
  <si>
    <t xml:space="preserve">3.PS3</t>
  </si>
  <si>
    <t xml:space="preserve">Partner senior landfill CQA engineer: plan and records review, liner start-up attendance, technical advice, co-signing of the CQA report</t>
  </si>
  <si>
    <t xml:space="preserve">3.PS4</t>
  </si>
  <si>
    <t xml:space="preserve">NATA IQA testing of soils and gravels, including sample transport (Wagga laboratory)</t>
  </si>
  <si>
    <t xml:space="preserve">3.PS5</t>
  </si>
  <si>
    <t xml:space="preserve">NATA IQA testing of geosynthetics (GCL, HDPE, geotextiles, geocomposite)</t>
  </si>
  <si>
    <t xml:space="preserve">3.PS6</t>
  </si>
  <si>
    <t xml:space="preserve">Liner integrity (electrical leak location) surveys, exposed liner and after the gravel drainage layer (subject to RFI 2)</t>
  </si>
  <si>
    <t xml:space="preserve">3.PS7</t>
  </si>
  <si>
    <t xml:space="preserve">Independent check survey of Planes 1 to 3</t>
  </si>
  <si>
    <t xml:space="preserve">4</t>
  </si>
  <si>
    <t xml:space="preserve">Hourly rate for variations (nominate for each staff member and any disbursements)</t>
  </si>
  <si>
    <t xml:space="preserve">4.1</t>
  </si>
  <si>
    <t xml:space="preserve">Lead CQA Engineer (J. Callen) $190/hr; site day (10 h) $1,900; Director review &amp; certification $200/hr; Project engineer/admin/travel $180/hr</t>
  </si>
  <si>
    <t xml:space="preserve">hr</t>
  </si>
  <si>
    <t xml:space="preserve">4.2</t>
  </si>
  <si>
    <t xml:space="preserve">Partner resident CQA technician $1,430/day (10 h, incl. 10% margin; allowance TBC from quote). Accommodation &amp; meals $280/night, vehicle $0.96/km; sub-consultants &amp; laboratory testing at cost + 10%</t>
  </si>
  <si>
    <t xml:space="preserve">Subtotal =</t>
  </si>
  <si>
    <t xml:space="preserve">Portion 2 - Monocell M1.1</t>
  </si>
  <si>
    <t xml:space="preserve">5</t>
  </si>
  <si>
    <t xml:space="preserve">5.1</t>
  </si>
  <si>
    <t xml:space="preserve">JCE: management plans, CQA Implementation Plan, submittal/MQA review, inductions, partner coordination, fortnightly meetings, monthly reports and claims; project engineer hours include travel time for 5 return trips Gunnedah - Wagga Wagga (75 h).</t>
  </si>
  <si>
    <t xml:space="preserve">5.1a</t>
  </si>
  <si>
    <t xml:space="preserve">Disbursements (added line): vehicle 5 x 1,260 km at $0.96/km, accommodation and meals 13 nights at $280</t>
  </si>
  <si>
    <t xml:space="preserve">6</t>
  </si>
  <si>
    <t xml:space="preserve">6.1</t>
  </si>
  <si>
    <t xml:space="preserve">6.2</t>
  </si>
  <si>
    <t xml:space="preserve">6.3</t>
  </si>
  <si>
    <t xml:space="preserve">6.4</t>
  </si>
  <si>
    <t xml:space="preserve">6.5</t>
  </si>
  <si>
    <t xml:space="preserve">6.6</t>
  </si>
  <si>
    <t xml:space="preserve">6.7</t>
  </si>
  <si>
    <t xml:space="preserve">6.8</t>
  </si>
  <si>
    <t xml:space="preserve">6.9</t>
  </si>
  <si>
    <t xml:space="preserve">6.10</t>
  </si>
  <si>
    <t xml:space="preserve">6.11</t>
  </si>
  <si>
    <t xml:space="preserve">6.12</t>
  </si>
  <si>
    <t xml:space="preserve">6.13</t>
  </si>
  <si>
    <t xml:space="preserve">6.14</t>
  </si>
  <si>
    <t xml:space="preserve">JCE hours in items 6.x cover 8 site days by J. Callen at critical hold points plus review of daily logs, test results and hold point packages. Resident technician time is in provisional sums 6.PS1 and 6.PS2 below.</t>
  </si>
  <si>
    <t xml:space="preserve">7</t>
  </si>
  <si>
    <t xml:space="preserve">7A</t>
  </si>
  <si>
    <t xml:space="preserve">7.PS1</t>
  </si>
  <si>
    <t xml:space="preserve">7.PS2</t>
  </si>
  <si>
    <t xml:space="preserve">7.PS3</t>
  </si>
  <si>
    <t xml:space="preserve">7.PS4</t>
  </si>
  <si>
    <t xml:space="preserve">7.PS5</t>
  </si>
  <si>
    <t xml:space="preserve">7.PS6</t>
  </si>
  <si>
    <t xml:space="preserve">7.PS7</t>
  </si>
  <si>
    <t xml:space="preserve">8</t>
  </si>
  <si>
    <t xml:space="preserve">8.1</t>
  </si>
  <si>
    <t xml:space="preserve">8.2</t>
  </si>
  <si>
    <t xml:space="preserve">TOTAL (EX GST)</t>
  </si>
  <si>
    <t xml:space="preserve">GST</t>
  </si>
  <si>
    <t xml:space="preserve">TOTAL (INCL GST)</t>
  </si>
  <si>
    <t xml:space="preserve">Notes: Travel, accommodation and all disbursements are included (Annexure Item 9). Provisional sums PS1 to PS7 are allowances for the Riverina CQA partner and specialists and are claimed only to the extent used at the rates shown; PS2 is the cost of full-time presence outside the lining works under Part D 1.13 (RFI 1). GITA Level 1 testing and GTA testing are excluded (RFI 2).</t>
  </si>
</sst>
</file>

<file path=xl/styles.xml><?xml version="1.0" encoding="utf-8"?>
<styleSheet xmlns="http://schemas.openxmlformats.org/spreadsheetml/2006/main">
  <numFmts count="2">
    <numFmt numFmtId="164" formatCode="General"/>
    <numFmt numFmtId="165" formatCode="\$#,##0.00"/>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9"/>
      <name val="Arial"/>
      <family val="0"/>
      <charset val="1"/>
    </font>
    <font>
      <sz val="9"/>
      <name val="Arial"/>
      <family val="0"/>
      <charset val="1"/>
    </font>
    <font>
      <b val="true"/>
      <sz val="10"/>
      <name val="Arial"/>
      <family val="0"/>
      <charset val="1"/>
    </font>
    <font>
      <i val="true"/>
      <sz val="8"/>
      <name val="Arial"/>
      <family val="0"/>
      <charset val="1"/>
    </font>
  </fonts>
  <fills count="4">
    <fill>
      <patternFill patternType="none"/>
    </fill>
    <fill>
      <patternFill patternType="gray125"/>
    </fill>
    <fill>
      <patternFill patternType="solid">
        <fgColor rgb="FFC9A227"/>
        <bgColor rgb="FF99CC00"/>
      </patternFill>
    </fill>
    <fill>
      <patternFill patternType="solid">
        <fgColor rgb="FFF3EBCF"/>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EBCF"/>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9A227"/>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8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7"/>
    <col collapsed="false" customWidth="true" hidden="false" outlineLevel="0" max="6" min="4" style="0" width="13"/>
    <col collapsed="false" customWidth="true" hidden="false" outlineLevel="0" max="7" min="7" style="0" width="7"/>
    <col collapsed="false" customWidth="true" hidden="false" outlineLevel="0" max="8" min="8" style="0" width="13"/>
    <col collapsed="false" customWidth="true" hidden="false" outlineLevel="0" max="9" min="9" style="0" width="15"/>
  </cols>
  <sheetData>
    <row r="1" customFormat="false" ht="15" hidden="false" customHeight="false" outlineLevel="0" collapsed="false">
      <c r="A1" s="1" t="s">
        <v>0</v>
      </c>
    </row>
    <row r="2" customFormat="false" ht="15" hidden="false" customHeight="false" outlineLevel="0" collapsed="false">
      <c r="A2" s="2" t="s">
        <v>1</v>
      </c>
      <c r="B2" s="3" t="s">
        <v>2</v>
      </c>
    </row>
    <row r="3" customFormat="false" ht="15" hidden="false" customHeight="false" outlineLevel="0" collapsed="false">
      <c r="A3" s="2" t="s">
        <v>3</v>
      </c>
      <c r="B3" s="3" t="s">
        <v>4</v>
      </c>
    </row>
    <row r="4" customFormat="false" ht="15" hidden="false" customHeight="false" outlineLevel="0" collapsed="false">
      <c r="A4" s="2" t="s">
        <v>5</v>
      </c>
      <c r="B4" s="3" t="s">
        <v>6</v>
      </c>
    </row>
    <row r="5" customFormat="false" ht="15" hidden="false" customHeight="false" outlineLevel="0" collapsed="false">
      <c r="A5" s="2" t="s">
        <v>7</v>
      </c>
      <c r="B5" s="3" t="s">
        <v>8</v>
      </c>
    </row>
    <row r="6" customFormat="false" ht="15" hidden="false" customHeight="false" outlineLevel="0" collapsed="false">
      <c r="A6" s="2" t="s">
        <v>9</v>
      </c>
      <c r="B6" s="3" t="s">
        <v>10</v>
      </c>
    </row>
    <row r="7" customFormat="false" ht="15" hidden="false" customHeight="false" outlineLevel="0" collapsed="false">
      <c r="A7" s="2" t="s">
        <v>11</v>
      </c>
      <c r="B7" s="3" t="s">
        <v>12</v>
      </c>
    </row>
    <row r="9" customFormat="false" ht="36" hidden="false" customHeight="true" outlineLevel="0" collapsed="false">
      <c r="A9" s="4" t="s">
        <v>13</v>
      </c>
      <c r="B9" s="4" t="s">
        <v>14</v>
      </c>
      <c r="C9" s="4" t="s">
        <v>15</v>
      </c>
      <c r="D9" s="4" t="s">
        <v>16</v>
      </c>
      <c r="E9" s="4" t="s">
        <v>17</v>
      </c>
      <c r="F9" s="4" t="s">
        <v>18</v>
      </c>
      <c r="G9" s="4" t="s">
        <v>19</v>
      </c>
      <c r="H9" s="4" t="s">
        <v>20</v>
      </c>
      <c r="I9" s="4" t="s">
        <v>21</v>
      </c>
    </row>
    <row r="10" customFormat="false" ht="15" hidden="false" customHeight="false" outlineLevel="0" collapsed="false">
      <c r="B10" s="5"/>
      <c r="D10" s="6" t="s">
        <v>22</v>
      </c>
      <c r="E10" s="6" t="s">
        <v>22</v>
      </c>
      <c r="F10" s="6" t="s">
        <v>22</v>
      </c>
    </row>
    <row r="11" customFormat="false" ht="15" hidden="false" customHeight="false" outlineLevel="0" collapsed="false">
      <c r="D11" s="7" t="n">
        <v>190</v>
      </c>
      <c r="E11" s="7" t="n">
        <v>200</v>
      </c>
      <c r="F11" s="7" t="n">
        <v>180</v>
      </c>
    </row>
    <row r="12" customFormat="false" ht="15" hidden="false" customHeight="false" outlineLevel="0" collapsed="false">
      <c r="D12" s="6" t="s">
        <v>23</v>
      </c>
      <c r="E12" s="6" t="s">
        <v>23</v>
      </c>
      <c r="F12" s="6" t="s">
        <v>23</v>
      </c>
    </row>
    <row r="13" customFormat="false" ht="15" hidden="false" customHeight="false" outlineLevel="0" collapsed="false">
      <c r="A13" s="8"/>
      <c r="B13" s="9" t="s">
        <v>24</v>
      </c>
      <c r="C13" s="8"/>
      <c r="D13" s="8"/>
      <c r="E13" s="8"/>
      <c r="F13" s="8"/>
      <c r="G13" s="8"/>
      <c r="H13" s="8"/>
      <c r="I13" s="8"/>
    </row>
    <row r="14" customFormat="false" ht="15" hidden="false" customHeight="false" outlineLevel="0" collapsed="false">
      <c r="A14" s="10" t="s">
        <v>25</v>
      </c>
      <c r="B14" s="11" t="s">
        <v>26</v>
      </c>
      <c r="C14" s="10"/>
      <c r="D14" s="10"/>
      <c r="E14" s="10"/>
      <c r="F14" s="10"/>
      <c r="G14" s="10"/>
      <c r="H14" s="10"/>
      <c r="I14" s="10"/>
    </row>
    <row r="15" customFormat="false" ht="22.35" hidden="false" customHeight="false" outlineLevel="0" collapsed="false">
      <c r="A15" s="5" t="s">
        <v>27</v>
      </c>
      <c r="B15" s="12" t="s">
        <v>28</v>
      </c>
      <c r="C15" s="5" t="n">
        <v>1</v>
      </c>
      <c r="D15" s="5" t="n">
        <v>100</v>
      </c>
      <c r="E15" s="5" t="n">
        <v>8</v>
      </c>
      <c r="F15" s="5" t="n">
        <v>160</v>
      </c>
      <c r="G15" s="5" t="s">
        <v>29</v>
      </c>
      <c r="H15" s="13" t="n">
        <f aca="false">D15*$D$11+E15*$E$11+F15*$F$11</f>
        <v>49400</v>
      </c>
      <c r="I15" s="13" t="n">
        <f aca="false">C15*H15</f>
        <v>49400</v>
      </c>
    </row>
    <row r="16" customFormat="false" ht="28.35" hidden="false" customHeight="false" outlineLevel="0" collapsed="false">
      <c r="B16" s="14" t="s">
        <v>30</v>
      </c>
    </row>
    <row r="17" customFormat="false" ht="22.35" hidden="false" customHeight="false" outlineLevel="0" collapsed="false">
      <c r="A17" s="5" t="s">
        <v>31</v>
      </c>
      <c r="B17" s="12" t="s">
        <v>32</v>
      </c>
      <c r="C17" s="5" t="n">
        <v>1</v>
      </c>
      <c r="G17" s="5" t="s">
        <v>29</v>
      </c>
      <c r="H17" s="13" t="n">
        <v>15836.8</v>
      </c>
      <c r="I17" s="13" t="n">
        <f aca="false">C17*H17</f>
        <v>15836.8</v>
      </c>
    </row>
    <row r="18" customFormat="false" ht="43.25" hidden="false" customHeight="false" outlineLevel="0" collapsed="false">
      <c r="A18" s="10" t="s">
        <v>33</v>
      </c>
      <c r="B18" s="11" t="s">
        <v>34</v>
      </c>
      <c r="C18" s="10"/>
      <c r="D18" s="10"/>
      <c r="E18" s="10"/>
      <c r="F18" s="10"/>
      <c r="G18" s="10"/>
      <c r="H18" s="10"/>
      <c r="I18" s="10"/>
    </row>
    <row r="19" customFormat="false" ht="15" hidden="false" customHeight="false" outlineLevel="0" collapsed="false">
      <c r="A19" s="5" t="s">
        <v>35</v>
      </c>
      <c r="B19" s="12" t="s">
        <v>36</v>
      </c>
      <c r="C19" s="5" t="n">
        <v>1</v>
      </c>
      <c r="D19" s="5" t="n">
        <v>22</v>
      </c>
      <c r="E19" s="5"/>
      <c r="F19" s="5"/>
      <c r="G19" s="5" t="s">
        <v>29</v>
      </c>
      <c r="H19" s="13" t="n">
        <f aca="false">D19*$D$11+E19*$E$11+F19*$F$11</f>
        <v>4180</v>
      </c>
      <c r="I19" s="13" t="n">
        <f aca="false">C19*H19</f>
        <v>4180</v>
      </c>
    </row>
    <row r="20" customFormat="false" ht="15" hidden="false" customHeight="false" outlineLevel="0" collapsed="false">
      <c r="A20" s="5" t="s">
        <v>37</v>
      </c>
      <c r="B20" s="12" t="s">
        <v>38</v>
      </c>
      <c r="C20" s="5" t="n">
        <v>1</v>
      </c>
      <c r="D20" s="5" t="n">
        <v>22</v>
      </c>
      <c r="E20" s="5"/>
      <c r="F20" s="5"/>
      <c r="G20" s="5" t="s">
        <v>29</v>
      </c>
      <c r="H20" s="13" t="n">
        <f aca="false">D20*$D$11+E20*$E$11+F20*$F$11</f>
        <v>4180</v>
      </c>
      <c r="I20" s="13" t="n">
        <f aca="false">C20*H20</f>
        <v>4180</v>
      </c>
    </row>
    <row r="21" customFormat="false" ht="15" hidden="false" customHeight="false" outlineLevel="0" collapsed="false">
      <c r="A21" s="5" t="s">
        <v>39</v>
      </c>
      <c r="B21" s="12" t="s">
        <v>40</v>
      </c>
      <c r="C21" s="5" t="n">
        <v>1</v>
      </c>
      <c r="D21" s="5" t="n">
        <v>40</v>
      </c>
      <c r="E21" s="5" t="n">
        <v>2</v>
      </c>
      <c r="F21" s="5"/>
      <c r="G21" s="5" t="s">
        <v>29</v>
      </c>
      <c r="H21" s="13" t="n">
        <f aca="false">D21*$D$11+E21*$E$11+F21*$F$11</f>
        <v>8000</v>
      </c>
      <c r="I21" s="13" t="n">
        <f aca="false">C21*H21</f>
        <v>8000</v>
      </c>
    </row>
    <row r="22" customFormat="false" ht="15" hidden="false" customHeight="false" outlineLevel="0" collapsed="false">
      <c r="A22" s="5" t="s">
        <v>41</v>
      </c>
      <c r="B22" s="12" t="s">
        <v>42</v>
      </c>
      <c r="C22" s="5" t="n">
        <v>1</v>
      </c>
      <c r="D22" s="5" t="n">
        <v>6</v>
      </c>
      <c r="E22" s="5"/>
      <c r="F22" s="5"/>
      <c r="G22" s="5" t="s">
        <v>29</v>
      </c>
      <c r="H22" s="13" t="n">
        <f aca="false">D22*$D$11+E22*$E$11+F22*$F$11</f>
        <v>1140</v>
      </c>
      <c r="I22" s="13" t="n">
        <f aca="false">C22*H22</f>
        <v>1140</v>
      </c>
    </row>
    <row r="23" customFormat="false" ht="15" hidden="false" customHeight="false" outlineLevel="0" collapsed="false">
      <c r="A23" s="5" t="s">
        <v>43</v>
      </c>
      <c r="B23" s="12" t="s">
        <v>44</v>
      </c>
      <c r="C23" s="5" t="n">
        <v>1</v>
      </c>
      <c r="D23" s="5" t="n">
        <v>32</v>
      </c>
      <c r="E23" s="5"/>
      <c r="F23" s="5"/>
      <c r="G23" s="5" t="s">
        <v>29</v>
      </c>
      <c r="H23" s="13" t="n">
        <f aca="false">D23*$D$11+E23*$E$11+F23*$F$11</f>
        <v>6080</v>
      </c>
      <c r="I23" s="13" t="n">
        <f aca="false">C23*H23</f>
        <v>6080</v>
      </c>
    </row>
    <row r="24" customFormat="false" ht="15" hidden="false" customHeight="false" outlineLevel="0" collapsed="false">
      <c r="A24" s="5" t="s">
        <v>45</v>
      </c>
      <c r="B24" s="12" t="s">
        <v>46</v>
      </c>
      <c r="C24" s="5" t="n">
        <v>1</v>
      </c>
      <c r="D24" s="5" t="n">
        <v>64</v>
      </c>
      <c r="E24" s="5" t="n">
        <v>4</v>
      </c>
      <c r="F24" s="5"/>
      <c r="G24" s="5" t="s">
        <v>29</v>
      </c>
      <c r="H24" s="13" t="n">
        <f aca="false">D24*$D$11+E24*$E$11+F24*$F$11</f>
        <v>12960</v>
      </c>
      <c r="I24" s="13" t="n">
        <f aca="false">C24*H24</f>
        <v>12960</v>
      </c>
    </row>
    <row r="25" customFormat="false" ht="15" hidden="false" customHeight="false" outlineLevel="0" collapsed="false">
      <c r="A25" s="5" t="s">
        <v>47</v>
      </c>
      <c r="B25" s="12" t="s">
        <v>48</v>
      </c>
      <c r="C25" s="5" t="n">
        <v>1</v>
      </c>
      <c r="D25" s="5" t="n">
        <v>16</v>
      </c>
      <c r="E25" s="5"/>
      <c r="F25" s="5"/>
      <c r="G25" s="5" t="s">
        <v>29</v>
      </c>
      <c r="H25" s="13" t="n">
        <f aca="false">D25*$D$11+E25*$E$11+F25*$F$11</f>
        <v>3040</v>
      </c>
      <c r="I25" s="13" t="n">
        <f aca="false">C25*H25</f>
        <v>3040</v>
      </c>
    </row>
    <row r="26" customFormat="false" ht="15" hidden="false" customHeight="false" outlineLevel="0" collapsed="false">
      <c r="A26" s="5" t="s">
        <v>49</v>
      </c>
      <c r="B26" s="12" t="s">
        <v>50</v>
      </c>
      <c r="C26" s="5" t="n">
        <v>1</v>
      </c>
      <c r="D26" s="5" t="n">
        <v>20</v>
      </c>
      <c r="E26" s="5"/>
      <c r="F26" s="5"/>
      <c r="G26" s="5" t="s">
        <v>29</v>
      </c>
      <c r="H26" s="13" t="n">
        <f aca="false">D26*$D$11+E26*$E$11+F26*$F$11</f>
        <v>3800</v>
      </c>
      <c r="I26" s="13" t="n">
        <f aca="false">C26*H26</f>
        <v>3800</v>
      </c>
    </row>
    <row r="27" customFormat="false" ht="15" hidden="false" customHeight="false" outlineLevel="0" collapsed="false">
      <c r="A27" s="5" t="s">
        <v>51</v>
      </c>
      <c r="B27" s="12" t="s">
        <v>52</v>
      </c>
      <c r="C27" s="5" t="n">
        <v>1</v>
      </c>
      <c r="D27" s="5" t="n">
        <v>30</v>
      </c>
      <c r="E27" s="5" t="n">
        <v>2</v>
      </c>
      <c r="F27" s="5"/>
      <c r="G27" s="5" t="s">
        <v>29</v>
      </c>
      <c r="H27" s="13" t="n">
        <f aca="false">D27*$D$11+E27*$E$11+F27*$F$11</f>
        <v>6100</v>
      </c>
      <c r="I27" s="13" t="n">
        <f aca="false">C27*H27</f>
        <v>6100</v>
      </c>
    </row>
    <row r="28" customFormat="false" ht="15" hidden="false" customHeight="false" outlineLevel="0" collapsed="false">
      <c r="A28" s="5" t="s">
        <v>53</v>
      </c>
      <c r="B28" s="12" t="s">
        <v>54</v>
      </c>
      <c r="C28" s="5" t="n">
        <v>1</v>
      </c>
      <c r="D28" s="5" t="n">
        <v>6</v>
      </c>
      <c r="E28" s="5"/>
      <c r="F28" s="5"/>
      <c r="G28" s="5" t="s">
        <v>29</v>
      </c>
      <c r="H28" s="13" t="n">
        <f aca="false">D28*$D$11+E28*$E$11+F28*$F$11</f>
        <v>1140</v>
      </c>
      <c r="I28" s="13" t="n">
        <f aca="false">C28*H28</f>
        <v>1140</v>
      </c>
    </row>
    <row r="29" customFormat="false" ht="15" hidden="false" customHeight="false" outlineLevel="0" collapsed="false">
      <c r="A29" s="5" t="s">
        <v>55</v>
      </c>
      <c r="B29" s="12" t="s">
        <v>56</v>
      </c>
      <c r="C29" s="5" t="n">
        <v>1</v>
      </c>
      <c r="D29" s="5" t="n">
        <v>6</v>
      </c>
      <c r="E29" s="5"/>
      <c r="F29" s="5"/>
      <c r="G29" s="5" t="s">
        <v>29</v>
      </c>
      <c r="H29" s="13" t="n">
        <f aca="false">D29*$D$11+E29*$E$11+F29*$F$11</f>
        <v>1140</v>
      </c>
      <c r="I29" s="13" t="n">
        <f aca="false">C29*H29</f>
        <v>1140</v>
      </c>
    </row>
    <row r="30" customFormat="false" ht="15" hidden="false" customHeight="false" outlineLevel="0" collapsed="false">
      <c r="A30" s="5" t="s">
        <v>57</v>
      </c>
      <c r="B30" s="12" t="s">
        <v>58</v>
      </c>
      <c r="C30" s="5" t="n">
        <v>1</v>
      </c>
      <c r="D30" s="5" t="n">
        <v>4</v>
      </c>
      <c r="E30" s="5"/>
      <c r="F30" s="5"/>
      <c r="G30" s="5" t="s">
        <v>29</v>
      </c>
      <c r="H30" s="13" t="n">
        <f aca="false">D30*$D$11+E30*$E$11+F30*$F$11</f>
        <v>760</v>
      </c>
      <c r="I30" s="13" t="n">
        <f aca="false">C30*H30</f>
        <v>760</v>
      </c>
    </row>
    <row r="31" customFormat="false" ht="15" hidden="false" customHeight="false" outlineLevel="0" collapsed="false">
      <c r="A31" s="5" t="s">
        <v>59</v>
      </c>
      <c r="B31" s="12" t="s">
        <v>60</v>
      </c>
      <c r="C31" s="5" t="n">
        <v>1</v>
      </c>
      <c r="D31" s="5" t="n">
        <v>4</v>
      </c>
      <c r="E31" s="5"/>
      <c r="F31" s="5"/>
      <c r="G31" s="5" t="s">
        <v>29</v>
      </c>
      <c r="H31" s="13" t="n">
        <f aca="false">D31*$D$11+E31*$E$11+F31*$F$11</f>
        <v>760</v>
      </c>
      <c r="I31" s="13" t="n">
        <f aca="false">C31*H31</f>
        <v>760</v>
      </c>
    </row>
    <row r="32" customFormat="false" ht="15" hidden="false" customHeight="false" outlineLevel="0" collapsed="false">
      <c r="A32" s="5" t="s">
        <v>61</v>
      </c>
      <c r="B32" s="12" t="s">
        <v>62</v>
      </c>
      <c r="C32" s="5" t="n">
        <v>1</v>
      </c>
      <c r="D32" s="5" t="n">
        <v>10</v>
      </c>
      <c r="E32" s="5"/>
      <c r="F32" s="5"/>
      <c r="G32" s="5" t="s">
        <v>29</v>
      </c>
      <c r="H32" s="13" t="n">
        <f aca="false">D32*$D$11+E32*$E$11+F32*$F$11</f>
        <v>1900</v>
      </c>
      <c r="I32" s="13" t="n">
        <f aca="false">C32*H32</f>
        <v>1900</v>
      </c>
    </row>
    <row r="33" customFormat="false" ht="28.35" hidden="false" customHeight="false" outlineLevel="0" collapsed="false">
      <c r="B33" s="14" t="s">
        <v>63</v>
      </c>
    </row>
    <row r="34" customFormat="false" ht="15" hidden="false" customHeight="false" outlineLevel="0" collapsed="false">
      <c r="A34" s="5" t="s">
        <v>64</v>
      </c>
      <c r="B34" s="12" t="s">
        <v>65</v>
      </c>
      <c r="C34" s="5" t="n">
        <v>1</v>
      </c>
      <c r="D34" s="5" t="n">
        <v>60</v>
      </c>
      <c r="E34" s="5" t="n">
        <v>12</v>
      </c>
      <c r="F34" s="5" t="n">
        <v>16</v>
      </c>
      <c r="G34" s="5" t="s">
        <v>29</v>
      </c>
      <c r="H34" s="13" t="n">
        <f aca="false">D34*$D$11+E34*$E$11+F34*$F$11</f>
        <v>16680</v>
      </c>
      <c r="I34" s="13" t="n">
        <f aca="false">C34*H34</f>
        <v>16680</v>
      </c>
    </row>
    <row r="35" customFormat="false" ht="19.4" hidden="false" customHeight="false" outlineLevel="0" collapsed="false">
      <c r="B35" s="14" t="s">
        <v>66</v>
      </c>
    </row>
    <row r="36" customFormat="false" ht="22.35" hidden="false" customHeight="false" outlineLevel="0" collapsed="false">
      <c r="A36" s="10" t="s">
        <v>67</v>
      </c>
      <c r="B36" s="11" t="s">
        <v>68</v>
      </c>
      <c r="C36" s="10"/>
      <c r="D36" s="10"/>
      <c r="E36" s="10"/>
      <c r="F36" s="10"/>
      <c r="G36" s="10"/>
      <c r="H36" s="10"/>
      <c r="I36" s="10"/>
    </row>
    <row r="37" customFormat="false" ht="22.35" hidden="false" customHeight="false" outlineLevel="0" collapsed="false">
      <c r="A37" s="5" t="s">
        <v>69</v>
      </c>
      <c r="B37" s="12" t="s">
        <v>70</v>
      </c>
      <c r="C37" s="5" t="n">
        <v>60</v>
      </c>
      <c r="G37" s="5" t="s">
        <v>71</v>
      </c>
      <c r="H37" s="13" t="n">
        <v>1430</v>
      </c>
      <c r="I37" s="13" t="n">
        <f aca="false">C37*H37</f>
        <v>85800</v>
      </c>
    </row>
    <row r="38" customFormat="false" ht="22.35" hidden="false" customHeight="false" outlineLevel="0" collapsed="false">
      <c r="A38" s="5" t="s">
        <v>72</v>
      </c>
      <c r="B38" s="12" t="s">
        <v>73</v>
      </c>
      <c r="C38" s="5" t="n">
        <v>85</v>
      </c>
      <c r="G38" s="5" t="s">
        <v>71</v>
      </c>
      <c r="H38" s="13" t="n">
        <v>1430</v>
      </c>
      <c r="I38" s="13" t="n">
        <f aca="false">C38*H38</f>
        <v>121550</v>
      </c>
    </row>
    <row r="39" customFormat="false" ht="22.35" hidden="false" customHeight="false" outlineLevel="0" collapsed="false">
      <c r="A39" s="5" t="s">
        <v>74</v>
      </c>
      <c r="B39" s="12" t="s">
        <v>75</v>
      </c>
      <c r="C39" s="5" t="n">
        <v>1</v>
      </c>
      <c r="G39" s="5" t="s">
        <v>29</v>
      </c>
      <c r="H39" s="13" t="n">
        <v>13200</v>
      </c>
      <c r="I39" s="13" t="n">
        <f aca="false">C39*H39</f>
        <v>13200</v>
      </c>
    </row>
    <row r="40" customFormat="false" ht="22.35" hidden="false" customHeight="false" outlineLevel="0" collapsed="false">
      <c r="A40" s="5" t="s">
        <v>76</v>
      </c>
      <c r="B40" s="12" t="s">
        <v>77</v>
      </c>
      <c r="C40" s="5" t="n">
        <v>1</v>
      </c>
      <c r="G40" s="5" t="s">
        <v>29</v>
      </c>
      <c r="H40" s="13" t="n">
        <v>13200</v>
      </c>
      <c r="I40" s="13" t="n">
        <f aca="false">C40*H40</f>
        <v>13200</v>
      </c>
    </row>
    <row r="41" customFormat="false" ht="15" hidden="false" customHeight="false" outlineLevel="0" collapsed="false">
      <c r="A41" s="5" t="s">
        <v>78</v>
      </c>
      <c r="B41" s="12" t="s">
        <v>79</v>
      </c>
      <c r="C41" s="5" t="n">
        <v>1</v>
      </c>
      <c r="G41" s="5" t="s">
        <v>29</v>
      </c>
      <c r="H41" s="13" t="n">
        <v>30800</v>
      </c>
      <c r="I41" s="13" t="n">
        <f aca="false">C41*H41</f>
        <v>30800</v>
      </c>
    </row>
    <row r="42" customFormat="false" ht="22.35" hidden="false" customHeight="false" outlineLevel="0" collapsed="false">
      <c r="A42" s="5" t="s">
        <v>80</v>
      </c>
      <c r="B42" s="12" t="s">
        <v>81</v>
      </c>
      <c r="C42" s="5" t="n">
        <v>1</v>
      </c>
      <c r="G42" s="5" t="s">
        <v>29</v>
      </c>
      <c r="H42" s="13" t="n">
        <v>41800</v>
      </c>
      <c r="I42" s="13" t="n">
        <f aca="false">C42*H42</f>
        <v>41800</v>
      </c>
    </row>
    <row r="43" customFormat="false" ht="15" hidden="false" customHeight="false" outlineLevel="0" collapsed="false">
      <c r="A43" s="5" t="s">
        <v>82</v>
      </c>
      <c r="B43" s="12" t="s">
        <v>83</v>
      </c>
      <c r="C43" s="5" t="n">
        <v>1</v>
      </c>
      <c r="G43" s="5" t="s">
        <v>29</v>
      </c>
      <c r="H43" s="13" t="n">
        <v>6600</v>
      </c>
      <c r="I43" s="13" t="n">
        <f aca="false">C43*H43</f>
        <v>6600</v>
      </c>
    </row>
    <row r="44" customFormat="false" ht="22.35" hidden="false" customHeight="false" outlineLevel="0" collapsed="false">
      <c r="A44" s="10" t="s">
        <v>84</v>
      </c>
      <c r="B44" s="11" t="s">
        <v>85</v>
      </c>
      <c r="C44" s="10"/>
      <c r="D44" s="10"/>
      <c r="E44" s="10"/>
      <c r="F44" s="10"/>
      <c r="G44" s="10"/>
      <c r="H44" s="10"/>
      <c r="I44" s="10"/>
    </row>
    <row r="45" customFormat="false" ht="22.35" hidden="false" customHeight="false" outlineLevel="0" collapsed="false">
      <c r="A45" s="5" t="s">
        <v>86</v>
      </c>
      <c r="B45" s="12" t="s">
        <v>87</v>
      </c>
      <c r="G45" s="5" t="s">
        <v>88</v>
      </c>
      <c r="H45" s="13" t="n">
        <v>190</v>
      </c>
      <c r="I45" s="5"/>
    </row>
    <row r="46" customFormat="false" ht="32.8" hidden="false" customHeight="false" outlineLevel="0" collapsed="false">
      <c r="A46" s="5" t="s">
        <v>89</v>
      </c>
      <c r="B46" s="12" t="s">
        <v>90</v>
      </c>
      <c r="G46" s="5" t="s">
        <v>71</v>
      </c>
      <c r="H46" s="13" t="n">
        <v>1430</v>
      </c>
      <c r="I46" s="5"/>
    </row>
    <row r="47" customFormat="false" ht="15" hidden="false" customHeight="false" outlineLevel="0" collapsed="false">
      <c r="H47" s="10" t="s">
        <v>91</v>
      </c>
      <c r="I47" s="7" t="n">
        <f aca="false">SUM(I14:I43)</f>
        <v>450046.8</v>
      </c>
    </row>
    <row r="49" customFormat="false" ht="15" hidden="false" customHeight="false" outlineLevel="0" collapsed="false">
      <c r="A49" s="8"/>
      <c r="B49" s="9" t="s">
        <v>92</v>
      </c>
      <c r="C49" s="8"/>
      <c r="D49" s="8"/>
      <c r="E49" s="8"/>
      <c r="F49" s="8"/>
      <c r="G49" s="8"/>
      <c r="H49" s="8"/>
      <c r="I49" s="8"/>
    </row>
    <row r="50" customFormat="false" ht="15" hidden="false" customHeight="false" outlineLevel="0" collapsed="false">
      <c r="A50" s="10" t="s">
        <v>93</v>
      </c>
      <c r="B50" s="11" t="s">
        <v>26</v>
      </c>
      <c r="C50" s="10"/>
      <c r="D50" s="10"/>
      <c r="E50" s="10"/>
      <c r="F50" s="10"/>
      <c r="G50" s="10"/>
      <c r="H50" s="10"/>
      <c r="I50" s="10"/>
    </row>
    <row r="51" customFormat="false" ht="22.35" hidden="false" customHeight="false" outlineLevel="0" collapsed="false">
      <c r="A51" s="5" t="s">
        <v>94</v>
      </c>
      <c r="B51" s="12" t="s">
        <v>28</v>
      </c>
      <c r="C51" s="5" t="n">
        <v>1</v>
      </c>
      <c r="D51" s="5" t="n">
        <v>50</v>
      </c>
      <c r="E51" s="5" t="n">
        <v>4</v>
      </c>
      <c r="F51" s="5" t="n">
        <v>95</v>
      </c>
      <c r="G51" s="5" t="s">
        <v>29</v>
      </c>
      <c r="H51" s="13" t="n">
        <f aca="false">D51*$D$11+E51*$E$11+F51*$F$11</f>
        <v>27400</v>
      </c>
      <c r="I51" s="13" t="n">
        <f aca="false">C51*H51</f>
        <v>27400</v>
      </c>
    </row>
    <row r="52" customFormat="false" ht="28.35" hidden="false" customHeight="false" outlineLevel="0" collapsed="false">
      <c r="B52" s="14" t="s">
        <v>95</v>
      </c>
    </row>
    <row r="53" customFormat="false" ht="22.35" hidden="false" customHeight="false" outlineLevel="0" collapsed="false">
      <c r="A53" s="5" t="s">
        <v>96</v>
      </c>
      <c r="B53" s="12" t="s">
        <v>97</v>
      </c>
      <c r="C53" s="5" t="n">
        <v>1</v>
      </c>
      <c r="G53" s="5" t="s">
        <v>29</v>
      </c>
      <c r="H53" s="13" t="n">
        <v>9688</v>
      </c>
      <c r="I53" s="13" t="n">
        <f aca="false">C53*H53</f>
        <v>9688</v>
      </c>
    </row>
    <row r="54" customFormat="false" ht="43.25" hidden="false" customHeight="false" outlineLevel="0" collapsed="false">
      <c r="A54" s="10" t="s">
        <v>98</v>
      </c>
      <c r="B54" s="11" t="s">
        <v>34</v>
      </c>
      <c r="C54" s="10"/>
      <c r="D54" s="10"/>
      <c r="E54" s="10"/>
      <c r="F54" s="10"/>
      <c r="G54" s="10"/>
      <c r="H54" s="10"/>
      <c r="I54" s="10"/>
    </row>
    <row r="55" customFormat="false" ht="15" hidden="false" customHeight="false" outlineLevel="0" collapsed="false">
      <c r="A55" s="5" t="s">
        <v>99</v>
      </c>
      <c r="B55" s="12" t="s">
        <v>36</v>
      </c>
      <c r="C55" s="5" t="n">
        <v>1</v>
      </c>
      <c r="D55" s="5" t="n">
        <v>13</v>
      </c>
      <c r="E55" s="5"/>
      <c r="F55" s="5"/>
      <c r="G55" s="5" t="s">
        <v>29</v>
      </c>
      <c r="H55" s="13" t="n">
        <f aca="false">D55*$D$11+E55*$E$11+F55*$F$11</f>
        <v>2470</v>
      </c>
      <c r="I55" s="13" t="n">
        <f aca="false">C55*H55</f>
        <v>2470</v>
      </c>
    </row>
    <row r="56" customFormat="false" ht="15" hidden="false" customHeight="false" outlineLevel="0" collapsed="false">
      <c r="A56" s="5" t="s">
        <v>100</v>
      </c>
      <c r="B56" s="12" t="s">
        <v>38</v>
      </c>
      <c r="C56" s="5" t="n">
        <v>1</v>
      </c>
      <c r="D56" s="5" t="n">
        <v>13</v>
      </c>
      <c r="E56" s="5"/>
      <c r="F56" s="5"/>
      <c r="G56" s="5" t="s">
        <v>29</v>
      </c>
      <c r="H56" s="13" t="n">
        <f aca="false">D56*$D$11+E56*$E$11+F56*$F$11</f>
        <v>2470</v>
      </c>
      <c r="I56" s="13" t="n">
        <f aca="false">C56*H56</f>
        <v>2470</v>
      </c>
    </row>
    <row r="57" customFormat="false" ht="15" hidden="false" customHeight="false" outlineLevel="0" collapsed="false">
      <c r="A57" s="5" t="s">
        <v>101</v>
      </c>
      <c r="B57" s="12" t="s">
        <v>40</v>
      </c>
      <c r="C57" s="5" t="n">
        <v>1</v>
      </c>
      <c r="D57" s="5" t="n">
        <v>22</v>
      </c>
      <c r="E57" s="5" t="n">
        <v>1</v>
      </c>
      <c r="F57" s="5"/>
      <c r="G57" s="5" t="s">
        <v>29</v>
      </c>
      <c r="H57" s="13" t="n">
        <f aca="false">D57*$D$11+E57*$E$11+F57*$F$11</f>
        <v>4380</v>
      </c>
      <c r="I57" s="13" t="n">
        <f aca="false">C57*H57</f>
        <v>4380</v>
      </c>
    </row>
    <row r="58" customFormat="false" ht="15" hidden="false" customHeight="false" outlineLevel="0" collapsed="false">
      <c r="A58" s="5" t="s">
        <v>102</v>
      </c>
      <c r="B58" s="12" t="s">
        <v>42</v>
      </c>
      <c r="C58" s="5" t="n">
        <v>1</v>
      </c>
      <c r="D58" s="5" t="n">
        <v>4</v>
      </c>
      <c r="E58" s="5"/>
      <c r="F58" s="5"/>
      <c r="G58" s="5" t="s">
        <v>29</v>
      </c>
      <c r="H58" s="13" t="n">
        <f aca="false">D58*$D$11+E58*$E$11+F58*$F$11</f>
        <v>760</v>
      </c>
      <c r="I58" s="13" t="n">
        <f aca="false">C58*H58</f>
        <v>760</v>
      </c>
    </row>
    <row r="59" customFormat="false" ht="15" hidden="false" customHeight="false" outlineLevel="0" collapsed="false">
      <c r="A59" s="5" t="s">
        <v>103</v>
      </c>
      <c r="B59" s="12" t="s">
        <v>44</v>
      </c>
      <c r="C59" s="5" t="n">
        <v>1</v>
      </c>
      <c r="D59" s="5" t="n">
        <v>18</v>
      </c>
      <c r="E59" s="5"/>
      <c r="F59" s="5"/>
      <c r="G59" s="5" t="s">
        <v>29</v>
      </c>
      <c r="H59" s="13" t="n">
        <f aca="false">D59*$D$11+E59*$E$11+F59*$F$11</f>
        <v>3420</v>
      </c>
      <c r="I59" s="13" t="n">
        <f aca="false">C59*H59</f>
        <v>3420</v>
      </c>
    </row>
    <row r="60" customFormat="false" ht="15" hidden="false" customHeight="false" outlineLevel="0" collapsed="false">
      <c r="A60" s="5" t="s">
        <v>104</v>
      </c>
      <c r="B60" s="12" t="s">
        <v>46</v>
      </c>
      <c r="C60" s="5" t="n">
        <v>1</v>
      </c>
      <c r="D60" s="5" t="n">
        <v>46</v>
      </c>
      <c r="E60" s="5" t="n">
        <v>3</v>
      </c>
      <c r="F60" s="5"/>
      <c r="G60" s="5" t="s">
        <v>29</v>
      </c>
      <c r="H60" s="13" t="n">
        <f aca="false">D60*$D$11+E60*$E$11+F60*$F$11</f>
        <v>9340</v>
      </c>
      <c r="I60" s="13" t="n">
        <f aca="false">C60*H60</f>
        <v>9340</v>
      </c>
    </row>
    <row r="61" customFormat="false" ht="15" hidden="false" customHeight="false" outlineLevel="0" collapsed="false">
      <c r="A61" s="5" t="s">
        <v>105</v>
      </c>
      <c r="B61" s="12" t="s">
        <v>48</v>
      </c>
      <c r="C61" s="5" t="n">
        <v>1</v>
      </c>
      <c r="D61" s="5" t="n">
        <v>4</v>
      </c>
      <c r="E61" s="5"/>
      <c r="F61" s="5"/>
      <c r="G61" s="5" t="s">
        <v>29</v>
      </c>
      <c r="H61" s="13" t="n">
        <f aca="false">D61*$D$11+E61*$E$11+F61*$F$11</f>
        <v>760</v>
      </c>
      <c r="I61" s="13" t="n">
        <f aca="false">C61*H61</f>
        <v>760</v>
      </c>
    </row>
    <row r="62" customFormat="false" ht="15" hidden="false" customHeight="false" outlineLevel="0" collapsed="false">
      <c r="A62" s="5" t="s">
        <v>106</v>
      </c>
      <c r="B62" s="12" t="s">
        <v>50</v>
      </c>
      <c r="C62" s="5" t="n">
        <v>1</v>
      </c>
      <c r="D62" s="5" t="n">
        <v>16</v>
      </c>
      <c r="E62" s="5"/>
      <c r="F62" s="5"/>
      <c r="G62" s="5" t="s">
        <v>29</v>
      </c>
      <c r="H62" s="13" t="n">
        <f aca="false">D62*$D$11+E62*$E$11+F62*$F$11</f>
        <v>3040</v>
      </c>
      <c r="I62" s="13" t="n">
        <f aca="false">C62*H62</f>
        <v>3040</v>
      </c>
    </row>
    <row r="63" customFormat="false" ht="15" hidden="false" customHeight="false" outlineLevel="0" collapsed="false">
      <c r="A63" s="5" t="s">
        <v>107</v>
      </c>
      <c r="B63" s="12" t="s">
        <v>52</v>
      </c>
      <c r="C63" s="5" t="n">
        <v>1</v>
      </c>
      <c r="D63" s="5" t="n">
        <v>16</v>
      </c>
      <c r="E63" s="5" t="n">
        <v>1</v>
      </c>
      <c r="F63" s="5"/>
      <c r="G63" s="5" t="s">
        <v>29</v>
      </c>
      <c r="H63" s="13" t="n">
        <f aca="false">D63*$D$11+E63*$E$11+F63*$F$11</f>
        <v>3240</v>
      </c>
      <c r="I63" s="13" t="n">
        <f aca="false">C63*H63</f>
        <v>3240</v>
      </c>
    </row>
    <row r="64" customFormat="false" ht="15" hidden="false" customHeight="false" outlineLevel="0" collapsed="false">
      <c r="A64" s="5" t="s">
        <v>108</v>
      </c>
      <c r="B64" s="12" t="s">
        <v>54</v>
      </c>
      <c r="C64" s="5" t="n">
        <v>1</v>
      </c>
      <c r="D64" s="5" t="n">
        <v>4</v>
      </c>
      <c r="E64" s="5"/>
      <c r="F64" s="5"/>
      <c r="G64" s="5" t="s">
        <v>29</v>
      </c>
      <c r="H64" s="13" t="n">
        <f aca="false">D64*$D$11+E64*$E$11+F64*$F$11</f>
        <v>760</v>
      </c>
      <c r="I64" s="13" t="n">
        <f aca="false">C64*H64</f>
        <v>760</v>
      </c>
    </row>
    <row r="65" customFormat="false" ht="15" hidden="false" customHeight="false" outlineLevel="0" collapsed="false">
      <c r="A65" s="5" t="s">
        <v>109</v>
      </c>
      <c r="B65" s="12" t="s">
        <v>56</v>
      </c>
      <c r="C65" s="5" t="n">
        <v>1</v>
      </c>
      <c r="D65" s="5" t="n">
        <v>4</v>
      </c>
      <c r="E65" s="5"/>
      <c r="F65" s="5"/>
      <c r="G65" s="5" t="s">
        <v>29</v>
      </c>
      <c r="H65" s="13" t="n">
        <f aca="false">D65*$D$11+E65*$E$11+F65*$F$11</f>
        <v>760</v>
      </c>
      <c r="I65" s="13" t="n">
        <f aca="false">C65*H65</f>
        <v>760</v>
      </c>
    </row>
    <row r="66" customFormat="false" ht="15" hidden="false" customHeight="false" outlineLevel="0" collapsed="false">
      <c r="A66" s="5" t="s">
        <v>110</v>
      </c>
      <c r="B66" s="12" t="s">
        <v>58</v>
      </c>
      <c r="C66" s="5" t="n">
        <v>1</v>
      </c>
      <c r="D66" s="5" t="n">
        <v>3</v>
      </c>
      <c r="E66" s="5"/>
      <c r="F66" s="5"/>
      <c r="G66" s="5" t="s">
        <v>29</v>
      </c>
      <c r="H66" s="13" t="n">
        <f aca="false">D66*$D$11+E66*$E$11+F66*$F$11</f>
        <v>570</v>
      </c>
      <c r="I66" s="13" t="n">
        <f aca="false">C66*H66</f>
        <v>570</v>
      </c>
    </row>
    <row r="67" customFormat="false" ht="15" hidden="false" customHeight="false" outlineLevel="0" collapsed="false">
      <c r="A67" s="5" t="s">
        <v>111</v>
      </c>
      <c r="B67" s="12" t="s">
        <v>60</v>
      </c>
      <c r="C67" s="5" t="n">
        <v>1</v>
      </c>
      <c r="D67" s="5" t="n">
        <v>3</v>
      </c>
      <c r="E67" s="5"/>
      <c r="F67" s="5"/>
      <c r="G67" s="5" t="s">
        <v>29</v>
      </c>
      <c r="H67" s="13" t="n">
        <f aca="false">D67*$D$11+E67*$E$11+F67*$F$11</f>
        <v>570</v>
      </c>
      <c r="I67" s="13" t="n">
        <f aca="false">C67*H67</f>
        <v>570</v>
      </c>
    </row>
    <row r="68" customFormat="false" ht="15" hidden="false" customHeight="false" outlineLevel="0" collapsed="false">
      <c r="A68" s="5" t="s">
        <v>112</v>
      </c>
      <c r="B68" s="12" t="s">
        <v>62</v>
      </c>
      <c r="C68" s="5" t="n">
        <v>1</v>
      </c>
      <c r="D68" s="5" t="n">
        <v>6</v>
      </c>
      <c r="E68" s="5"/>
      <c r="F68" s="5"/>
      <c r="G68" s="5" t="s">
        <v>29</v>
      </c>
      <c r="H68" s="13" t="n">
        <f aca="false">D68*$D$11+E68*$E$11+F68*$F$11</f>
        <v>1140</v>
      </c>
      <c r="I68" s="13" t="n">
        <f aca="false">C68*H68</f>
        <v>1140</v>
      </c>
    </row>
    <row r="69" customFormat="false" ht="28.35" hidden="false" customHeight="false" outlineLevel="0" collapsed="false">
      <c r="B69" s="14" t="s">
        <v>113</v>
      </c>
    </row>
    <row r="70" customFormat="false" ht="15" hidden="false" customHeight="false" outlineLevel="0" collapsed="false">
      <c r="A70" s="5" t="s">
        <v>114</v>
      </c>
      <c r="B70" s="12" t="s">
        <v>65</v>
      </c>
      <c r="C70" s="5" t="n">
        <v>1</v>
      </c>
      <c r="D70" s="5" t="n">
        <v>40</v>
      </c>
      <c r="E70" s="5" t="n">
        <v>8</v>
      </c>
      <c r="F70" s="5" t="n">
        <v>10</v>
      </c>
      <c r="G70" s="5" t="s">
        <v>29</v>
      </c>
      <c r="H70" s="13" t="n">
        <f aca="false">D70*$D$11+E70*$E$11+F70*$F$11</f>
        <v>11000</v>
      </c>
      <c r="I70" s="13" t="n">
        <f aca="false">C70*H70</f>
        <v>11000</v>
      </c>
    </row>
    <row r="71" customFormat="false" ht="19.4" hidden="false" customHeight="false" outlineLevel="0" collapsed="false">
      <c r="B71" s="14" t="s">
        <v>66</v>
      </c>
    </row>
    <row r="72" customFormat="false" ht="22.35" hidden="false" customHeight="false" outlineLevel="0" collapsed="false">
      <c r="A72" s="10" t="s">
        <v>115</v>
      </c>
      <c r="B72" s="11" t="s">
        <v>68</v>
      </c>
      <c r="C72" s="10"/>
      <c r="D72" s="10"/>
      <c r="E72" s="10"/>
      <c r="F72" s="10"/>
      <c r="G72" s="10"/>
      <c r="H72" s="10"/>
      <c r="I72" s="10"/>
    </row>
    <row r="73" customFormat="false" ht="22.35" hidden="false" customHeight="false" outlineLevel="0" collapsed="false">
      <c r="A73" s="5" t="s">
        <v>116</v>
      </c>
      <c r="B73" s="12" t="s">
        <v>70</v>
      </c>
      <c r="C73" s="5" t="n">
        <v>30</v>
      </c>
      <c r="G73" s="5" t="s">
        <v>71</v>
      </c>
      <c r="H73" s="13" t="n">
        <v>1430</v>
      </c>
      <c r="I73" s="13" t="n">
        <f aca="false">C73*H73</f>
        <v>42900</v>
      </c>
    </row>
    <row r="74" customFormat="false" ht="22.35" hidden="false" customHeight="false" outlineLevel="0" collapsed="false">
      <c r="A74" s="5" t="s">
        <v>117</v>
      </c>
      <c r="B74" s="12" t="s">
        <v>73</v>
      </c>
      <c r="C74" s="5" t="n">
        <v>50</v>
      </c>
      <c r="G74" s="5" t="s">
        <v>71</v>
      </c>
      <c r="H74" s="13" t="n">
        <v>1430</v>
      </c>
      <c r="I74" s="13" t="n">
        <f aca="false">C74*H74</f>
        <v>71500</v>
      </c>
    </row>
    <row r="75" customFormat="false" ht="22.35" hidden="false" customHeight="false" outlineLevel="0" collapsed="false">
      <c r="A75" s="5" t="s">
        <v>118</v>
      </c>
      <c r="B75" s="12" t="s">
        <v>75</v>
      </c>
      <c r="C75" s="5" t="n">
        <v>1</v>
      </c>
      <c r="G75" s="5" t="s">
        <v>29</v>
      </c>
      <c r="H75" s="13" t="n">
        <v>7700</v>
      </c>
      <c r="I75" s="13" t="n">
        <f aca="false">C75*H75</f>
        <v>7700</v>
      </c>
    </row>
    <row r="76" customFormat="false" ht="22.35" hidden="false" customHeight="false" outlineLevel="0" collapsed="false">
      <c r="A76" s="5" t="s">
        <v>119</v>
      </c>
      <c r="B76" s="12" t="s">
        <v>77</v>
      </c>
      <c r="C76" s="5" t="n">
        <v>1</v>
      </c>
      <c r="G76" s="5" t="s">
        <v>29</v>
      </c>
      <c r="H76" s="13" t="n">
        <v>6600</v>
      </c>
      <c r="I76" s="13" t="n">
        <f aca="false">C76*H76</f>
        <v>6600</v>
      </c>
    </row>
    <row r="77" customFormat="false" ht="15" hidden="false" customHeight="false" outlineLevel="0" collapsed="false">
      <c r="A77" s="5" t="s">
        <v>120</v>
      </c>
      <c r="B77" s="12" t="s">
        <v>79</v>
      </c>
      <c r="C77" s="5" t="n">
        <v>1</v>
      </c>
      <c r="G77" s="5" t="s">
        <v>29</v>
      </c>
      <c r="H77" s="13" t="n">
        <v>15400</v>
      </c>
      <c r="I77" s="13" t="n">
        <f aca="false">C77*H77</f>
        <v>15400</v>
      </c>
    </row>
    <row r="78" customFormat="false" ht="22.35" hidden="false" customHeight="false" outlineLevel="0" collapsed="false">
      <c r="A78" s="5" t="s">
        <v>121</v>
      </c>
      <c r="B78" s="12" t="s">
        <v>81</v>
      </c>
      <c r="C78" s="5" t="n">
        <v>1</v>
      </c>
      <c r="G78" s="5" t="s">
        <v>29</v>
      </c>
      <c r="H78" s="13" t="n">
        <v>17600</v>
      </c>
      <c r="I78" s="13" t="n">
        <f aca="false">C78*H78</f>
        <v>17600</v>
      </c>
    </row>
    <row r="79" customFormat="false" ht="15" hidden="false" customHeight="false" outlineLevel="0" collapsed="false">
      <c r="A79" s="5" t="s">
        <v>122</v>
      </c>
      <c r="B79" s="12" t="s">
        <v>83</v>
      </c>
      <c r="C79" s="5" t="n">
        <v>1</v>
      </c>
      <c r="G79" s="5" t="s">
        <v>29</v>
      </c>
      <c r="H79" s="13" t="n">
        <v>3300</v>
      </c>
      <c r="I79" s="13" t="n">
        <f aca="false">C79*H79</f>
        <v>3300</v>
      </c>
    </row>
    <row r="80" customFormat="false" ht="22.35" hidden="false" customHeight="false" outlineLevel="0" collapsed="false">
      <c r="A80" s="10" t="s">
        <v>123</v>
      </c>
      <c r="B80" s="11" t="s">
        <v>85</v>
      </c>
      <c r="C80" s="10"/>
      <c r="D80" s="10"/>
      <c r="E80" s="10"/>
      <c r="F80" s="10"/>
      <c r="G80" s="10"/>
      <c r="H80" s="10"/>
      <c r="I80" s="10"/>
    </row>
    <row r="81" customFormat="false" ht="22.35" hidden="false" customHeight="false" outlineLevel="0" collapsed="false">
      <c r="A81" s="5" t="s">
        <v>124</v>
      </c>
      <c r="B81" s="12" t="s">
        <v>87</v>
      </c>
      <c r="G81" s="5" t="s">
        <v>88</v>
      </c>
      <c r="H81" s="13" t="n">
        <v>190</v>
      </c>
      <c r="I81" s="5"/>
    </row>
    <row r="82" customFormat="false" ht="32.8" hidden="false" customHeight="false" outlineLevel="0" collapsed="false">
      <c r="A82" s="5" t="s">
        <v>125</v>
      </c>
      <c r="B82" s="12" t="s">
        <v>90</v>
      </c>
      <c r="G82" s="5" t="s">
        <v>71</v>
      </c>
      <c r="H82" s="13" t="n">
        <v>1430</v>
      </c>
      <c r="I82" s="5"/>
    </row>
    <row r="83" customFormat="false" ht="15" hidden="false" customHeight="false" outlineLevel="0" collapsed="false">
      <c r="H83" s="10" t="s">
        <v>91</v>
      </c>
      <c r="I83" s="7" t="n">
        <f aca="false">SUM(I50:I79)</f>
        <v>246768</v>
      </c>
    </row>
    <row r="85" customFormat="false" ht="15" hidden="false" customHeight="false" outlineLevel="0" collapsed="false">
      <c r="H85" s="10" t="s">
        <v>126</v>
      </c>
      <c r="I85" s="7" t="n">
        <f aca="false">I47+I83</f>
        <v>696814.8</v>
      </c>
    </row>
    <row r="86" customFormat="false" ht="15" hidden="false" customHeight="false" outlineLevel="0" collapsed="false">
      <c r="H86" s="10" t="s">
        <v>127</v>
      </c>
      <c r="I86" s="15" t="n">
        <f aca="false">ROUND(I85*0.1,2)</f>
        <v>69681.48</v>
      </c>
    </row>
    <row r="87" customFormat="false" ht="15" hidden="false" customHeight="false" outlineLevel="0" collapsed="false">
      <c r="H87" s="10" t="s">
        <v>128</v>
      </c>
      <c r="I87" s="7" t="n">
        <f aca="false">I85+I86</f>
        <v>766496.28</v>
      </c>
    </row>
    <row r="89" customFormat="false" ht="60" hidden="false" customHeight="true" outlineLevel="0" collapsed="false">
      <c r="B89" s="16" t="s">
        <v>129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2026-10-12T01:33:26Z</dcterms:created>
  <dc:creator>openpyxl</dc:creator>
  <dc:description/>
  <dc:language>en-US</dc:language>
  <cp:lastModifiedBy/>
  <dcterms:modified xsi:type="dcterms:W3CDTF">2026-10-12T01:33:26Z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