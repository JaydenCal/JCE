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ur Y1" sheetId="1" state="visible" r:id="rId1"/>
    <sheet xmlns:r="http://schemas.openxmlformats.org/officeDocument/2006/relationships" name="Pricing Schedule" sheetId="2" state="visible" r:id="rId2"/>
    <sheet xmlns:r="http://schemas.openxmlformats.org/officeDocument/2006/relationships" name="Category Split" sheetId="3" state="visible" r:id="rId3"/>
    <sheet xmlns:r="http://schemas.openxmlformats.org/officeDocument/2006/relationships" name="JCE Hours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EC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95" customWidth="1" min="2" max="2"/>
  </cols>
  <sheetData>
    <row r="1">
      <c r="A1" s="1" t="inlineStr">
        <is>
          <t>JCE Infrastructure: VP527277 / MRC-2645 cost sheet Rev F (12/10/2026). Year 1 JCE labour, all delivered by Jayden Callen; role codes set the charge rate only.</t>
        </is>
      </c>
    </row>
    <row r="2">
      <c r="A2" s="1" t="inlineStr">
        <is>
          <t>Code</t>
        </is>
      </c>
      <c r="B2" s="1" t="inlineStr">
        <is>
          <t>Activity</t>
        </is>
      </c>
      <c r="C2" s="1" t="inlineStr">
        <is>
          <t>Hours</t>
        </is>
      </c>
      <c r="D2" s="1" t="inlineStr">
        <is>
          <t>Role</t>
        </is>
      </c>
      <c r="E2" s="1" t="inlineStr">
        <is>
          <t>Rate</t>
        </is>
      </c>
      <c r="F2" s="1" t="inlineStr">
        <is>
          <t>Cost ex GST</t>
        </is>
      </c>
      <c r="G2" s="1" t="inlineStr">
        <is>
          <t>Stage</t>
        </is>
      </c>
      <c r="H2" s="1" t="inlineStr">
        <is>
          <t>Draft Rev A hours</t>
        </is>
      </c>
    </row>
    <row r="3">
      <c r="A3" t="inlineStr">
        <is>
          <t>A1</t>
        </is>
      </c>
      <c r="B3" t="inlineStr">
        <is>
          <t>Inception meeting at Moama, Council WHS induction, agenda and minutes</t>
        </is>
      </c>
      <c r="C3" t="n">
        <v>14</v>
      </c>
      <c r="D3" t="inlineStr">
        <is>
          <t>Dir</t>
        </is>
      </c>
      <c r="E3" t="n">
        <v>200</v>
      </c>
      <c r="F3">
        <f>C3*E3</f>
        <v/>
      </c>
      <c r="G3" t="n">
        <v>1</v>
      </c>
      <c r="H3" t="n">
        <v>14</v>
      </c>
    </row>
    <row r="4">
      <c r="A4" t="inlineStr">
        <is>
          <t>A2</t>
        </is>
      </c>
      <c r="B4" t="inlineStr">
        <is>
          <t>Project management, partner management, monthly meetings and reports, Dec 2026 to Jun 2027</t>
        </is>
      </c>
      <c r="C4" t="n">
        <v>56</v>
      </c>
      <c r="D4" t="inlineStr">
        <is>
          <t>Dir</t>
        </is>
      </c>
      <c r="E4" t="n">
        <v>200</v>
      </c>
      <c r="F4">
        <f>C4*E4</f>
        <v/>
      </c>
      <c r="G4" t="n">
        <v>6</v>
      </c>
      <c r="H4" t="n">
        <v>56</v>
      </c>
    </row>
    <row r="5">
      <c r="A5" t="inlineStr">
        <is>
          <t>A3</t>
        </is>
      </c>
      <c r="B5" t="inlineStr">
        <is>
          <t>Document control, transmittals, monthly consultant certificates, data handover</t>
        </is>
      </c>
      <c r="C5" t="n">
        <v>24</v>
      </c>
      <c r="D5" t="inlineStr">
        <is>
          <t>Adm</t>
        </is>
      </c>
      <c r="E5" t="n">
        <v>140</v>
      </c>
      <c r="F5">
        <f>C5*E5</f>
        <v/>
      </c>
      <c r="G5" t="n">
        <v>6</v>
      </c>
      <c r="H5" t="n">
        <v>24</v>
      </c>
    </row>
    <row r="6">
      <c r="A6" t="inlineStr">
        <is>
          <t>B1</t>
        </is>
      </c>
      <c r="B6" t="inlineStr">
        <is>
          <t>Pilot and calibration in Moama with partners and Council (3 days on site)</t>
        </is>
      </c>
      <c r="C6" t="n">
        <v>24</v>
      </c>
      <c r="D6" t="inlineStr">
        <is>
          <t>PE</t>
        </is>
      </c>
      <c r="E6" t="n">
        <v>180</v>
      </c>
      <c r="F6">
        <f>C6*E6</f>
        <v/>
      </c>
      <c r="G6" t="n">
        <v>2</v>
      </c>
      <c r="H6" t="n">
        <v>24</v>
      </c>
    </row>
    <row r="7">
      <c r="A7" t="inlineStr">
        <is>
          <t>B2</t>
        </is>
      </c>
      <c r="B7" t="inlineStr">
        <is>
          <t>Council data review, segmentation set-up, defect schema mapping</t>
        </is>
      </c>
      <c r="C7" t="n">
        <v>56</v>
      </c>
      <c r="D7" t="inlineStr">
        <is>
          <t>Snr</t>
        </is>
      </c>
      <c r="E7" t="n">
        <v>190</v>
      </c>
      <c r="F7">
        <f>C7*E7</f>
        <v/>
      </c>
      <c r="G7" t="n">
        <v>1</v>
      </c>
      <c r="H7" t="n">
        <v>56</v>
      </c>
    </row>
    <row r="8">
      <c r="A8" t="inlineStr">
        <is>
          <t>B3</t>
        </is>
      </c>
      <c r="B8" t="inlineStr">
        <is>
          <t>Field verification and partner QA audits (2 visits x 3 days)</t>
        </is>
      </c>
      <c r="C8" t="n">
        <v>48</v>
      </c>
      <c r="D8" t="inlineStr">
        <is>
          <t>PE</t>
        </is>
      </c>
      <c r="E8" t="n">
        <v>180</v>
      </c>
      <c r="F8">
        <f>C8*E8</f>
        <v/>
      </c>
      <c r="G8" t="n">
        <v>3</v>
      </c>
      <c r="H8" t="n">
        <v>48</v>
      </c>
    </row>
    <row r="9">
      <c r="A9" t="inlineStr">
        <is>
          <t>C1</t>
        </is>
      </c>
      <c r="B9" t="inlineStr">
        <is>
          <t>Hold point submissions: methodology, program, providers, SWMS and safety plans</t>
        </is>
      </c>
      <c r="C9" t="n">
        <v>32</v>
      </c>
      <c r="D9" t="inlineStr">
        <is>
          <t>Snr</t>
        </is>
      </c>
      <c r="E9" t="n">
        <v>190</v>
      </c>
      <c r="F9">
        <f>C9*E9</f>
        <v/>
      </c>
      <c r="G9" t="n">
        <v>1</v>
      </c>
      <c r="H9" t="n">
        <v>32</v>
      </c>
    </row>
    <row r="10">
      <c r="A10" t="inlineStr">
        <is>
          <t>C2</t>
        </is>
      </c>
      <c r="B10" t="inlineStr">
        <is>
          <t>Pilot review, rating guide and data template revisions</t>
        </is>
      </c>
      <c r="C10" t="n">
        <v>12</v>
      </c>
      <c r="D10" t="inlineStr">
        <is>
          <t>Snr</t>
        </is>
      </c>
      <c r="E10" t="n">
        <v>190</v>
      </c>
      <c r="F10">
        <f>C10*E10</f>
        <v/>
      </c>
      <c r="G10" t="n">
        <v>2</v>
      </c>
      <c r="H10" t="n">
        <v>12</v>
      </c>
    </row>
    <row r="11">
      <c r="A11" t="inlineStr">
        <is>
          <t>C3</t>
        </is>
      </c>
      <c r="B11" t="inlineStr">
        <is>
          <t>Data QA audit of partner data against Council template (sampled re-rates, completeness, GPS, naming)</t>
        </is>
      </c>
      <c r="C11" t="n">
        <v>60</v>
      </c>
      <c r="D11" t="inlineStr">
        <is>
          <t>PE</t>
        </is>
      </c>
      <c r="E11" t="n">
        <v>180</v>
      </c>
      <c r="F11">
        <f>C11*E11</f>
        <v/>
      </c>
      <c r="G11" t="n">
        <v>4</v>
      </c>
      <c r="H11" t="n">
        <v>100</v>
      </c>
    </row>
    <row r="12">
      <c r="A12" t="inlineStr">
        <is>
          <t>C4</t>
        </is>
      </c>
      <c r="B12" t="inlineStr">
        <is>
          <t>Merge partner GIS layers and data into one register; check Asset IDs and metadata</t>
        </is>
      </c>
      <c r="C12" t="n">
        <v>24</v>
      </c>
      <c r="D12" t="inlineStr">
        <is>
          <t>CAD</t>
        </is>
      </c>
      <c r="E12" t="n">
        <v>160</v>
      </c>
      <c r="F12">
        <f>C12*E12</f>
        <v/>
      </c>
      <c r="G12" t="n">
        <v>4</v>
      </c>
      <c r="H12" t="n">
        <v>80</v>
      </c>
    </row>
    <row r="13">
      <c r="A13" t="inlineStr">
        <is>
          <t>C5</t>
        </is>
      </c>
      <c r="B13" t="inlineStr">
        <is>
          <t>Review of partner defect notices and weekly progress data</t>
        </is>
      </c>
      <c r="C13" t="n">
        <v>8</v>
      </c>
      <c r="D13" t="inlineStr">
        <is>
          <t>PE</t>
        </is>
      </c>
      <c r="E13" t="n">
        <v>180</v>
      </c>
      <c r="F13">
        <f>C13*E13</f>
        <v/>
      </c>
      <c r="G13" t="n">
        <v>3</v>
      </c>
      <c r="H13" t="n">
        <v>16</v>
      </c>
    </row>
    <row r="14">
      <c r="A14" t="inlineStr">
        <is>
          <t>D1</t>
        </is>
      </c>
      <c r="B14" t="inlineStr">
        <is>
          <t>Valuation methodology review and componentisation (valuer drafts)</t>
        </is>
      </c>
      <c r="C14" t="n">
        <v>8</v>
      </c>
      <c r="D14" t="inlineStr">
        <is>
          <t>Snr</t>
        </is>
      </c>
      <c r="E14" t="n">
        <v>190</v>
      </c>
      <c r="F14">
        <f>C14*E14</f>
        <v/>
      </c>
      <c r="G14" t="n">
        <v>5</v>
      </c>
      <c r="H14" t="n">
        <v>16</v>
      </c>
    </row>
    <row r="15">
      <c r="A15" t="inlineStr">
        <is>
          <t>D2</t>
        </is>
      </c>
      <c r="B15" t="inlineStr">
        <is>
          <t>Unit rates: Council contract rates and estimate data, checked against valuer benchmarks</t>
        </is>
      </c>
      <c r="C15" t="n">
        <v>16</v>
      </c>
      <c r="D15" t="inlineStr">
        <is>
          <t>Snr</t>
        </is>
      </c>
      <c r="E15" t="n">
        <v>190</v>
      </c>
      <c r="F15">
        <f>C15*E15</f>
        <v/>
      </c>
      <c r="G15" t="n">
        <v>5</v>
      </c>
      <c r="H15" t="n">
        <v>32</v>
      </c>
    </row>
    <row r="16">
      <c r="A16" t="inlineStr">
        <is>
          <t>D3</t>
        </is>
      </c>
      <c r="B16" t="inlineStr">
        <is>
          <t>Useful lives and condition to remaining life relationship by component</t>
        </is>
      </c>
      <c r="C16" t="n">
        <v>16</v>
      </c>
      <c r="D16" t="inlineStr">
        <is>
          <t>Snr</t>
        </is>
      </c>
      <c r="E16" t="n">
        <v>190</v>
      </c>
      <c r="F16">
        <f>C16*E16</f>
        <v/>
      </c>
      <c r="G16" t="n">
        <v>5</v>
      </c>
      <c r="H16" t="n">
        <v>24</v>
      </c>
    </row>
    <row r="17">
      <c r="A17" t="inlineStr">
        <is>
          <t>D4</t>
        </is>
      </c>
      <c r="B17" t="inlineStr">
        <is>
          <t>Reconciliation of valuation to the register and capitalisation thresholds</t>
        </is>
      </c>
      <c r="C17" t="n">
        <v>8</v>
      </c>
      <c r="D17" t="inlineStr">
        <is>
          <t>PE</t>
        </is>
      </c>
      <c r="E17" t="n">
        <v>180</v>
      </c>
      <c r="F17">
        <f>C17*E17</f>
        <v/>
      </c>
      <c r="G17" t="n">
        <v>5</v>
      </c>
      <c r="H17" t="n">
        <v>72</v>
      </c>
    </row>
    <row r="18">
      <c r="A18" t="inlineStr">
        <is>
          <t>D5</t>
        </is>
      </c>
      <c r="B18" t="inlineStr">
        <is>
          <t>Condition and remaining life sections of the valuation report</t>
        </is>
      </c>
      <c r="C18" t="n">
        <v>12</v>
      </c>
      <c r="D18" t="inlineStr">
        <is>
          <t>Snr</t>
        </is>
      </c>
      <c r="E18" t="n">
        <v>190</v>
      </c>
      <c r="F18">
        <f>C18*E18</f>
        <v/>
      </c>
      <c r="G18" t="n">
        <v>5</v>
      </c>
      <c r="H18" t="n">
        <v>28</v>
      </c>
    </row>
    <row r="19">
      <c r="A19" t="inlineStr">
        <is>
          <t>D6</t>
        </is>
      </c>
      <c r="B19" t="inlineStr">
        <is>
          <t>Valuer coordination and review of the valuer calculations</t>
        </is>
      </c>
      <c r="C19" t="n">
        <v>12</v>
      </c>
      <c r="D19" t="inlineStr">
        <is>
          <t>Dir</t>
        </is>
      </c>
      <c r="E19" t="n">
        <v>200</v>
      </c>
      <c r="F19">
        <f>C19*E19</f>
        <v/>
      </c>
      <c r="G19" t="n">
        <v>5</v>
      </c>
      <c r="H19" t="n">
        <v>8</v>
      </c>
    </row>
    <row r="20">
      <c r="A20" t="inlineStr">
        <is>
          <t>E1</t>
        </is>
      </c>
      <c r="B20" t="inlineStr">
        <is>
          <t>Condition and defect maps by zone and asset class (from partner GIS)</t>
        </is>
      </c>
      <c r="C20" t="n">
        <v>12</v>
      </c>
      <c r="D20" t="inlineStr">
        <is>
          <t>CAD</t>
        </is>
      </c>
      <c r="E20" t="n">
        <v>160</v>
      </c>
      <c r="F20">
        <f>C20*E20</f>
        <v/>
      </c>
      <c r="G20" t="n">
        <v>4</v>
      </c>
      <c r="H20" t="n">
        <v>24</v>
      </c>
    </row>
    <row r="21">
      <c r="A21" t="inlineStr">
        <is>
          <t>E2</t>
        </is>
      </c>
      <c r="B21" t="inlineStr">
        <is>
          <t>Travel time, Gunnedah to Moama and the four zones (three return trips)</t>
        </is>
      </c>
      <c r="C21" t="n">
        <v>48</v>
      </c>
      <c r="D21" t="inlineStr">
        <is>
          <t>PE</t>
        </is>
      </c>
      <c r="E21" t="n">
        <v>180</v>
      </c>
      <c r="F21">
        <f>C21*E21</f>
        <v/>
      </c>
      <c r="G21" t="n">
        <v>3</v>
      </c>
      <c r="H21" t="n">
        <v>48</v>
      </c>
    </row>
    <row r="22">
      <c r="A22" t="inlineStr">
        <is>
          <t>E3</t>
        </is>
      </c>
      <c r="B22" t="inlineStr">
        <is>
          <t>Review of Level 2 bridge reports; Level 3/4 recommendations register (127 structures)</t>
        </is>
      </c>
      <c r="C22" t="n">
        <v>31.75</v>
      </c>
      <c r="D22" t="inlineStr">
        <is>
          <t>Dir</t>
        </is>
      </c>
      <c r="E22" t="n">
        <v>200</v>
      </c>
      <c r="F22">
        <f>C22*E22</f>
        <v/>
      </c>
      <c r="G22" t="n">
        <v>3</v>
      </c>
      <c r="H22" t="n">
        <v>31.75</v>
      </c>
    </row>
    <row r="23">
      <c r="A23" t="inlineStr">
        <is>
          <t>E4</t>
        </is>
      </c>
      <c r="B23" t="inlineStr">
        <is>
          <t>Remaining useful life model by component and segment; explanation of changes</t>
        </is>
      </c>
      <c r="C23" t="n">
        <v>24</v>
      </c>
      <c r="D23" t="inlineStr">
        <is>
          <t>Snr</t>
        </is>
      </c>
      <c r="E23" t="n">
        <v>190</v>
      </c>
      <c r="F23">
        <f>C23*E23</f>
        <v/>
      </c>
      <c r="G23" t="n">
        <v>4</v>
      </c>
      <c r="H23" t="n">
        <v>24</v>
      </c>
    </row>
    <row r="24">
      <c r="A24" t="inlineStr">
        <is>
          <t>F1</t>
        </is>
      </c>
      <c r="B24" t="inlineStr">
        <is>
          <t>Detailed defect report from the partner defect schedule</t>
        </is>
      </c>
      <c r="C24" t="n">
        <v>32</v>
      </c>
      <c r="D24" t="inlineStr">
        <is>
          <t>Snr</t>
        </is>
      </c>
      <c r="E24" t="n">
        <v>190</v>
      </c>
      <c r="F24">
        <f>C24*E24</f>
        <v/>
      </c>
      <c r="G24" t="n">
        <v>4</v>
      </c>
      <c r="H24" t="n">
        <v>48</v>
      </c>
    </row>
    <row r="25">
      <c r="A25" t="inlineStr">
        <is>
          <t>F2</t>
        </is>
      </c>
      <c r="B25" t="inlineStr">
        <is>
          <t>10-year capital renewal and maintenance programs</t>
        </is>
      </c>
      <c r="C25" t="n">
        <v>64</v>
      </c>
      <c r="D25" t="inlineStr">
        <is>
          <t>Snr</t>
        </is>
      </c>
      <c r="E25" t="n">
        <v>190</v>
      </c>
      <c r="F25">
        <f>C25*E25</f>
        <v/>
      </c>
      <c r="G25" t="n">
        <v>4</v>
      </c>
      <c r="H25" t="n">
        <v>64</v>
      </c>
    </row>
    <row r="26">
      <c r="A26" t="inlineStr">
        <is>
          <t>F3</t>
        </is>
      </c>
      <c r="B26" t="inlineStr">
        <is>
          <t>Inspection and condition report, draft and final</t>
        </is>
      </c>
      <c r="C26" t="n">
        <v>48</v>
      </c>
      <c r="D26" t="inlineStr">
        <is>
          <t>Snr</t>
        </is>
      </c>
      <c r="E26" t="n">
        <v>190</v>
      </c>
      <c r="F26">
        <f>C26*E26</f>
        <v/>
      </c>
      <c r="G26" t="n">
        <v>4</v>
      </c>
      <c r="H26" t="n">
        <v>48</v>
      </c>
    </row>
    <row r="27">
      <c r="A27" t="inlineStr">
        <is>
          <t>F4</t>
        </is>
      </c>
      <c r="B27" t="inlineStr">
        <is>
          <t>Director QA review of all deliverables</t>
        </is>
      </c>
      <c r="C27" t="n">
        <v>28</v>
      </c>
      <c r="D27" t="inlineStr">
        <is>
          <t>Dir</t>
        </is>
      </c>
      <c r="E27" t="n">
        <v>200</v>
      </c>
      <c r="F27">
        <f>C27*E27</f>
        <v/>
      </c>
      <c r="G27" t="n">
        <v>6</v>
      </c>
      <c r="H27" t="n">
        <v>28</v>
      </c>
    </row>
    <row r="28">
      <c r="A28" t="inlineStr">
        <is>
          <t>G1</t>
        </is>
      </c>
      <c r="B28" t="inlineStr">
        <is>
          <t>Guardrail and handrail safety assessment (Austroads GRD Part 6)</t>
        </is>
      </c>
      <c r="C28" t="n">
        <v>32</v>
      </c>
      <c r="D28" t="inlineStr">
        <is>
          <t>Snr</t>
        </is>
      </c>
      <c r="E28" t="n">
        <v>190</v>
      </c>
      <c r="F28">
        <f>C28*E28</f>
        <v/>
      </c>
      <c r="G28" t="n">
        <v>4</v>
      </c>
      <c r="H28" t="n">
        <v>32</v>
      </c>
    </row>
    <row r="29">
      <c r="A29" t="inlineStr">
        <is>
          <t>G2</t>
        </is>
      </c>
      <c r="B29" t="inlineStr">
        <is>
          <t>Presentation of draft findings (online) and comments register</t>
        </is>
      </c>
      <c r="C29" t="n">
        <v>8</v>
      </c>
      <c r="D29" t="inlineStr">
        <is>
          <t>Dir</t>
        </is>
      </c>
      <c r="E29" t="n">
        <v>200</v>
      </c>
      <c r="F29">
        <f>C29*E29</f>
        <v/>
      </c>
      <c r="G29" t="n">
        <v>6</v>
      </c>
      <c r="H29" t="n">
        <v>8</v>
      </c>
    </row>
    <row r="30">
      <c r="A30" t="inlineStr">
        <is>
          <t>G3</t>
        </is>
      </c>
      <c r="B30" t="inlineStr">
        <is>
          <t>Close-out, data handover, return or deletion of Council data</t>
        </is>
      </c>
      <c r="C30" t="n">
        <v>8</v>
      </c>
      <c r="D30" t="inlineStr">
        <is>
          <t>PE</t>
        </is>
      </c>
      <c r="E30" t="n">
        <v>180</v>
      </c>
      <c r="F30">
        <f>C30*E30</f>
        <v/>
      </c>
      <c r="G30" t="n">
        <v>6</v>
      </c>
      <c r="H30" t="n">
        <v>8</v>
      </c>
    </row>
    <row r="31">
      <c r="A31" s="2" t="inlineStr"/>
      <c r="B31" s="2" t="inlineStr">
        <is>
          <t>Total JCE labour</t>
        </is>
      </c>
      <c r="C31" s="2">
        <f>SUM(C3:C30)</f>
        <v/>
      </c>
      <c r="D31" s="2" t="inlineStr"/>
      <c r="E31" s="2" t="inlineStr"/>
      <c r="F31" s="2">
        <f>SUM(F3:F30)</f>
        <v/>
      </c>
      <c r="G31" s="2" t="inlineStr"/>
      <c r="H31" s="2">
        <f>SUM(H3:H30)</f>
        <v/>
      </c>
    </row>
    <row r="33">
      <c r="A33" t="inlineStr"/>
      <c r="B33" t="inlineStr">
        <is>
          <t>Disbursements (vehicle 6,300 km x $0.96; 12 nights x $180)</t>
        </is>
      </c>
      <c r="C33" t="inlineStr"/>
      <c r="D33" t="inlineStr"/>
      <c r="E33" t="inlineStr"/>
      <c r="F33" t="n">
        <v>8208</v>
      </c>
    </row>
    <row r="35">
      <c r="A35" s="1" t="inlineStr">
        <is>
          <t>Item</t>
        </is>
      </c>
      <c r="B35" s="1" t="inlineStr">
        <is>
          <t>Provisional sums (partner allowances until quotes due 12:00 pm Wed 28/10/2026)</t>
        </is>
      </c>
      <c r="C35" s="1" t="inlineStr">
        <is>
          <t>Allowance</t>
        </is>
      </c>
      <c r="D35" s="1" t="inlineStr"/>
      <c r="E35" s="1" t="inlineStr">
        <is>
          <t>Mark-up</t>
        </is>
      </c>
      <c r="F35" s="1" t="inlineStr">
        <is>
          <t>Amount ex GST</t>
        </is>
      </c>
      <c r="G35" s="1" t="n"/>
      <c r="H35" s="1" t="n"/>
    </row>
    <row r="36">
      <c r="A36" t="inlineStr">
        <is>
          <t>PS1</t>
        </is>
      </c>
      <c r="B36" t="inlineStr">
        <is>
          <t>Road imaging partner: imaging, inventory, condition data (as Rev A)</t>
        </is>
      </c>
      <c r="C36" t="n">
        <v>310275</v>
      </c>
      <c r="D36" t="inlineStr"/>
      <c r="E36" t="n">
        <v>0.1</v>
      </c>
      <c r="F36">
        <f>C36*(1+E36)</f>
        <v/>
      </c>
    </row>
    <row r="37">
      <c r="A37" t="inlineStr">
        <is>
          <t>PS1k</t>
        </is>
      </c>
      <c r="B37" t="inlineStr">
        <is>
          <t>Road imaging partner: GIS layers, register in Council template, coded defect schedule (moved from JCE hours)</t>
        </is>
      </c>
      <c r="C37" t="n">
        <v>20500</v>
      </c>
      <c r="D37" t="inlineStr"/>
      <c r="E37" t="n">
        <v>0.1</v>
      </c>
      <c r="F37">
        <f>C37*(1+E37)</f>
        <v/>
      </c>
    </row>
    <row r="38">
      <c r="A38" t="inlineStr">
        <is>
          <t>PS2</t>
        </is>
      </c>
      <c r="B38" t="inlineStr">
        <is>
          <t>Bridge partner: Level 2, 127 structures (as Rev A)</t>
        </is>
      </c>
      <c r="C38" t="n">
        <v>117400</v>
      </c>
      <c r="D38" t="inlineStr"/>
      <c r="E38" t="n">
        <v>0.1</v>
      </c>
      <c r="F38">
        <f>C38*(1+E38)</f>
        <v/>
      </c>
    </row>
    <row r="39">
      <c r="A39" t="inlineStr">
        <is>
          <t>PS3</t>
        </is>
      </c>
      <c r="B39" t="inlineStr">
        <is>
          <t>Valuer: review and signed report (as Rev A)</t>
        </is>
      </c>
      <c r="C39" t="n">
        <v>30000</v>
      </c>
      <c r="D39" t="inlineStr"/>
      <c r="E39" t="n">
        <v>0.1</v>
      </c>
      <c r="F39">
        <f>C39*(1+E39)</f>
        <v/>
      </c>
    </row>
    <row r="40">
      <c r="A40" t="inlineStr">
        <is>
          <t>PS3b</t>
        </is>
      </c>
      <c r="B40" t="inlineStr">
        <is>
          <t>Valuer: valuation calculations and benchmark unit rates (moved from JCE hours; matches RFQ ALT price)</t>
        </is>
      </c>
      <c r="C40" t="n">
        <v>18000</v>
      </c>
      <c r="D40" t="inlineStr"/>
      <c r="E40" t="n">
        <v>0.1</v>
      </c>
      <c r="F40">
        <f>C40*(1+E40)</f>
        <v/>
      </c>
    </row>
    <row r="42">
      <c r="A42" s="2" t="inlineStr"/>
      <c r="B42" s="2" t="inlineStr">
        <is>
          <t>Year 1 total ex GST</t>
        </is>
      </c>
      <c r="C42" s="2" t="inlineStr"/>
      <c r="D42" s="2" t="inlineStr"/>
      <c r="E42" s="2" t="inlineStr"/>
      <c r="F42" s="2">
        <f>F31+F33+SUM(F36:F40)</f>
        <v/>
      </c>
      <c r="G42" s="2" t="n"/>
      <c r="H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Item</t>
        </is>
      </c>
      <c r="B1" t="inlineStr">
        <is>
          <t>Description</t>
        </is>
      </c>
      <c r="C1" t="inlineStr">
        <is>
          <t>Ex GST</t>
        </is>
      </c>
      <c r="D1" t="inlineStr">
        <is>
          <t>GST</t>
        </is>
      </c>
      <c r="E1" t="inlineStr">
        <is>
          <t>Incl GST</t>
        </is>
      </c>
    </row>
    <row r="2">
      <c r="A2" t="inlineStr">
        <is>
          <t>1</t>
        </is>
      </c>
      <c r="B2" t="inlineStr">
        <is>
          <t>Year 1 (2027) comprehensive inspection and valuation</t>
        </is>
      </c>
      <c r="C2">
        <f>'Labour Y1'!F42</f>
        <v/>
      </c>
      <c r="D2">
        <f>C2*0.1</f>
        <v/>
      </c>
      <c r="E2">
        <f>C2+D2</f>
        <v/>
      </c>
    </row>
    <row r="3">
      <c r="A3" t="inlineStr">
        <is>
          <t>2</t>
        </is>
      </c>
      <c r="B3" t="inlineStr">
        <is>
          <t>2028 rolling zone year</t>
        </is>
      </c>
      <c r="C3" t="n">
        <v>188950</v>
      </c>
      <c r="D3">
        <f>C3*0.1</f>
        <v/>
      </c>
      <c r="E3">
        <f>C3+D3</f>
        <v/>
      </c>
    </row>
    <row r="4">
      <c r="A4" t="inlineStr">
        <is>
          <t>3</t>
        </is>
      </c>
      <c r="B4" t="inlineStr">
        <is>
          <t>2029 rolling zone year</t>
        </is>
      </c>
      <c r="C4" t="n">
        <v>200570</v>
      </c>
      <c r="D4">
        <f>C4*0.1</f>
        <v/>
      </c>
      <c r="E4">
        <f>C4+D4</f>
        <v/>
      </c>
    </row>
    <row r="5">
      <c r="A5" t="inlineStr">
        <is>
          <t>4</t>
        </is>
      </c>
      <c r="B5" t="inlineStr">
        <is>
          <t>2030 rolling zone year</t>
        </is>
      </c>
      <c r="C5" t="n">
        <v>163310</v>
      </c>
      <c r="D5">
        <f>C5*0.1</f>
        <v/>
      </c>
      <c r="E5">
        <f>C5+D5</f>
        <v/>
      </c>
    </row>
    <row r="6">
      <c r="A6" t="inlineStr">
        <is>
          <t>5</t>
        </is>
      </c>
      <c r="B6" t="inlineStr">
        <is>
          <t>2031 rolling zone year</t>
        </is>
      </c>
      <c r="C6" t="n">
        <v>247000</v>
      </c>
      <c r="D6">
        <f>C6*0.1</f>
        <v/>
      </c>
      <c r="E6">
        <f>C6+D6</f>
        <v/>
      </c>
    </row>
    <row r="7">
      <c r="A7" t="inlineStr"/>
      <c r="B7" t="inlineStr">
        <is>
          <t>LUMP SUM (Schedule 1)</t>
        </is>
      </c>
      <c r="C7">
        <f>SUM(C2:C6)</f>
        <v/>
      </c>
      <c r="D7">
        <f>SUM(D2:D6)</f>
        <v/>
      </c>
      <c r="E7">
        <f>SUM(E2:E6)</f>
        <v/>
      </c>
    </row>
    <row r="8">
      <c r="A8" t="inlineStr">
        <is>
          <t>Opt</t>
        </is>
      </c>
      <c r="B8" t="inlineStr">
        <is>
          <t>Level 3/4 bridge inspection, per bridge</t>
        </is>
      </c>
      <c r="C8" t="n">
        <v>7400</v>
      </c>
      <c r="D8" t="n">
        <v>740</v>
      </c>
      <c r="E8" t="n">
        <v>8140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Asset category</t>
        </is>
      </c>
      <c r="B1" t="inlineStr">
        <is>
          <t>Year 1 ex GST</t>
        </is>
      </c>
    </row>
    <row r="2">
      <c r="A2" t="inlineStr">
        <is>
          <t>Sealed roads (urban, regional, local)</t>
        </is>
      </c>
      <c r="B2" t="n">
        <v>182826.24</v>
      </c>
    </row>
    <row r="3">
      <c r="A3" t="inlineStr">
        <is>
          <t>Unsealed roads</t>
        </is>
      </c>
      <c r="B3" t="n">
        <v>190238.13</v>
      </c>
    </row>
    <row r="4">
      <c r="A4" t="inlineStr">
        <is>
          <t>Kerb and gutter</t>
        </is>
      </c>
      <c r="B4" t="n">
        <v>9662.889999999999</v>
      </c>
    </row>
    <row r="5">
      <c r="A5" t="inlineStr">
        <is>
          <t>Footpaths and cycleways</t>
        </is>
      </c>
      <c r="B5" t="n">
        <v>24358.53</v>
      </c>
    </row>
    <row r="6">
      <c r="A6" t="inlineStr">
        <is>
          <t>Roundabouts, traffic islands and medians</t>
        </is>
      </c>
      <c r="B6" t="n">
        <v>6835.4</v>
      </c>
    </row>
    <row r="7">
      <c r="A7" t="inlineStr">
        <is>
          <t>Carparks</t>
        </is>
      </c>
      <c r="B7" t="n">
        <v>13835.5</v>
      </c>
    </row>
    <row r="8">
      <c r="A8" t="inlineStr">
        <is>
          <t>Rural culverts</t>
        </is>
      </c>
      <c r="B8" t="n">
        <v>51224.29</v>
      </c>
    </row>
    <row r="9">
      <c r="A9" t="inlineStr">
        <is>
          <t>Guardrail</t>
        </is>
      </c>
      <c r="B9" t="n">
        <v>22876.16</v>
      </c>
    </row>
    <row r="10">
      <c r="A10" t="inlineStr">
        <is>
          <t>Bus shelters</t>
        </is>
      </c>
      <c r="B10" t="n">
        <v>1921.6</v>
      </c>
    </row>
    <row r="11">
      <c r="A11" t="inlineStr">
        <is>
          <t>Bridges and major culverts</t>
        </is>
      </c>
      <c r="B11" t="n">
        <v>180081.11</v>
      </c>
    </row>
    <row r="12">
      <c r="A12" t="inlineStr">
        <is>
          <t>Footbridges</t>
        </is>
      </c>
      <c r="B12" t="n">
        <v>12810.65</v>
      </c>
    </row>
    <row r="13">
      <c r="A13" t="inlineStr">
        <is>
          <t>Total</t>
        </is>
      </c>
      <c r="B13">
        <f>SUM(B2:B12)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JCE hours (approx.)</t>
        </is>
      </c>
      <c r="C1" t="inlineStr">
        <is>
          <t>Hours per week</t>
        </is>
      </c>
    </row>
    <row r="2">
      <c r="A2" t="inlineStr">
        <is>
          <t>Dec 2026</t>
        </is>
      </c>
      <c r="B2" t="n">
        <v>60</v>
      </c>
      <c r="C2">
        <f>B2/2</f>
        <v/>
      </c>
    </row>
    <row r="3">
      <c r="A3" t="inlineStr">
        <is>
          <t>Jan 2027</t>
        </is>
      </c>
      <c r="B3" t="n">
        <v>90</v>
      </c>
      <c r="C3">
        <f>B3/3</f>
        <v/>
      </c>
    </row>
    <row r="4">
      <c r="A4" t="inlineStr">
        <is>
          <t>Feb 2027</t>
        </is>
      </c>
      <c r="B4" t="n">
        <v>110</v>
      </c>
      <c r="C4">
        <f>B4/4</f>
        <v/>
      </c>
    </row>
    <row r="5">
      <c r="A5" t="inlineStr">
        <is>
          <t>Mar 2027</t>
        </is>
      </c>
      <c r="B5" t="n">
        <v>120</v>
      </c>
      <c r="C5">
        <f>B5/4.4</f>
        <v/>
      </c>
    </row>
    <row r="6">
      <c r="A6" t="inlineStr">
        <is>
          <t>Apr 2027</t>
        </is>
      </c>
      <c r="B6" t="n">
        <v>95</v>
      </c>
      <c r="C6">
        <f>B6/4.3</f>
        <v/>
      </c>
    </row>
    <row r="7">
      <c r="A7" t="inlineStr">
        <is>
          <t>May 2027</t>
        </is>
      </c>
      <c r="B7" t="n">
        <v>165</v>
      </c>
      <c r="C7">
        <f>B7/4.4</f>
        <v/>
      </c>
    </row>
    <row r="8">
      <c r="A8" t="inlineStr">
        <is>
          <t>Jun 2027</t>
        </is>
      </c>
      <c r="B8" t="n">
        <v>125</v>
      </c>
      <c r="C8">
        <f>B8/3.6</f>
        <v/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2026-10-12T01:31:36Z</dcterms:created>
  <dcterms:modified xmlns:dcterms="http://purl.org/dc/terms/" xmlns:xsi="http://www.w3.org/2001/XMLSchema-instance" xsi:type="dcterms:W3CDTF">2026-10-12T01:31:36Z</dcterms:modified>
</cp:coreProperties>
</file>